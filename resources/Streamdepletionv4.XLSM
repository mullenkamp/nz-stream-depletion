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DavidJ\Environment Canterbury\OneDrive - Environment Canterbury\Desktop\"/>
    </mc:Choice>
  </mc:AlternateContent>
  <xr:revisionPtr revIDLastSave="0" documentId="13_ncr:1_{13CD56D9-98D3-443C-97AB-347469129807}" xr6:coauthVersionLast="44" xr6:coauthVersionMax="44" xr10:uidLastSave="{00000000-0000-0000-0000-000000000000}"/>
  <bookViews>
    <workbookView xWindow="-120" yWindow="-120" windowWidth="29040" windowHeight="15990" firstSheet="3" activeTab="3" xr2:uid="{00000000-000D-0000-FFFF-FFFF00000000}"/>
  </bookViews>
  <sheets>
    <sheet name="MathFunctions" sheetId="1" state="veryHidden" r:id=""/>
    <sheet name="Dispersion" sheetId="2" state="veryHidden" r:id=""/>
    <sheet name="Hydraulics" sheetId="3" state="veryHidden" r:id=""/>
    <sheet name="Theis(1935)(Jenkins)" sheetId="32" r:id="rId1"/>
    <sheet name="Hunt(1999)" sheetId="31" r:id="rId2"/>
    <sheet name="Hunt(2003)" sheetId="24" r:id="rId3"/>
    <sheet name="Ward-Lough(2011)" sheetId="33" r:id="rId4"/>
    <sheet name="Disclaimer" sheetId="25" r:id="rId5"/>
    <sheet name="ScaleDepDispersion" sheetId="20" state="veryHidden" r:id=""/>
  </sheets>
  <functionGroups builtInGroupCount="19"/>
  <definedNames>
    <definedName name="B_prime" localSheetId="5">'Hunt(2003)'!$B$8</definedName>
    <definedName name="B_prime" localSheetId="6">'Ward-Lough(2011)'!$B$7</definedName>
    <definedName name="bedwidth" localSheetId="4">'Hunt(1999)'!$B$15</definedName>
    <definedName name="bedwidth" localSheetId="5">'Hunt(2003)'!$B$15</definedName>
    <definedName name="bedwidth" localSheetId="6">'Ward-Lough(2011)'!$B$15</definedName>
    <definedName name="Condbed" localSheetId="4">'Hunt(1999)'!$B$13</definedName>
    <definedName name="Condbed" localSheetId="5">'Hunt(2003)'!$B$13</definedName>
    <definedName name="Condbed" localSheetId="6">'Ward-Lough(2011)'!$B$13</definedName>
    <definedName name="eff" localSheetId="4">'Hunt(1999)'!$B$24</definedName>
    <definedName name="eff" localSheetId="3">'Theis(1935)(Jenkins)'!$B$24</definedName>
    <definedName name="eff" localSheetId="6">'Ward-Lough(2011)'!$B$24</definedName>
    <definedName name="K_prime" localSheetId="5">'Hunt(2003)'!$B$7</definedName>
    <definedName name="K_prime" localSheetId="6">'Ward-Lough(2011)'!$B$6</definedName>
    <definedName name="KB" localSheetId="5">'Hunt(2003)'!$B$9</definedName>
    <definedName name="KB" localSheetId="6">'Ward-Lough(2011)'!$B$8</definedName>
    <definedName name="L" localSheetId="4">'Hunt(1999)'!$B$21</definedName>
    <definedName name="L" localSheetId="5">'Hunt(2003)'!$B$21</definedName>
    <definedName name="L" localSheetId="3">'Theis(1935)(Jenkins)'!$B$21</definedName>
    <definedName name="L" localSheetId="6">'Ward-Lough(2011)'!$B$21</definedName>
    <definedName name="L_2" localSheetId="4">'Hunt(1999)'!$B$25</definedName>
    <definedName name="L_2" localSheetId="6">'Ward-Lough(2011)'!$B$25</definedName>
    <definedName name="lambda" localSheetId="4">'Hunt(1999)'!$B$16</definedName>
    <definedName name="lambda" localSheetId="5">'Hunt(2003)'!$B$16</definedName>
    <definedName name="lambda" localSheetId="6">'Ward-Lough(2011)'!$B$16</definedName>
    <definedName name="q" localSheetId="4">'Hunt(1999)'!$B$20</definedName>
    <definedName name="q" localSheetId="5">'Hunt(2003)'!$B$20</definedName>
    <definedName name="q" localSheetId="3">'Theis(1935)(Jenkins)'!$B$20</definedName>
    <definedName name="q" localSheetId="6">'Ward-Lough(2011)'!$B$20</definedName>
    <definedName name="S" localSheetId="4">'Hunt(1999)'!$B$4</definedName>
    <definedName name="S" localSheetId="5">'Hunt(2003)'!$B$4</definedName>
    <definedName name="S" localSheetId="3">'Theis(1935)(Jenkins)'!$B$4</definedName>
    <definedName name="S_1" localSheetId="6">'Ward-Lough(2011)'!$B$11</definedName>
    <definedName name="S_2" localSheetId="6">'Ward-Lough(2011)'!$B$4</definedName>
    <definedName name="sdf" localSheetId="3">'Theis(1935)(Jenkins)'!$B$22</definedName>
    <definedName name="Sdf_2" localSheetId="3">'Theis(1935)(Jenkins)'!$B$26</definedName>
    <definedName name="Sy" localSheetId="5">'Hunt(2003)'!$B$10</definedName>
    <definedName name="T" localSheetId="4">'Hunt(1999)'!$B$3</definedName>
    <definedName name="T" localSheetId="5">'Hunt(2003)'!$B$3</definedName>
    <definedName name="T" localSheetId="3">'Theis(1935)(Jenkins)'!$B$3</definedName>
    <definedName name="T_1" localSheetId="6">'Ward-Lough(2011)'!$B$10</definedName>
    <definedName name="T_2" localSheetId="6">'Ward-Lough(2011)'!$B$3</definedName>
    <definedName name="Thickbed" localSheetId="4">'Hunt(1999)'!$B$14</definedName>
    <definedName name="Thickbed" localSheetId="5">'Hunt(2003)'!$B$14</definedName>
    <definedName name="Thickbed" localSheetId="6">'Ward-Lough(2011)'!$B$14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6" i="31" l="1"/>
  <c r="B16" i="24"/>
  <c r="C30" i="31"/>
  <c r="C29" i="31"/>
  <c r="C32" i="31"/>
  <c r="C31" i="31"/>
  <c r="B16" i="33" l="1"/>
  <c r="B8" i="33"/>
  <c r="B22" i="32"/>
  <c r="B9" i="24"/>
  <c r="B26" i="32"/>
  <c r="C32" i="33"/>
  <c r="C32" i="32"/>
  <c r="R28" i="24"/>
  <c r="R22" i="32"/>
  <c r="R16" i="24"/>
  <c r="R16" i="32"/>
  <c r="R24" i="31"/>
  <c r="R25" i="32"/>
  <c r="R15" i="33"/>
  <c r="R22" i="24"/>
  <c r="R17" i="24"/>
  <c r="R8" i="33"/>
  <c r="R21" i="24"/>
  <c r="R13" i="33"/>
  <c r="R8" i="31"/>
  <c r="R10" i="31"/>
  <c r="R6" i="33"/>
  <c r="R27" i="32"/>
  <c r="C32" i="24"/>
  <c r="R5" i="31"/>
  <c r="R23" i="32"/>
  <c r="R19" i="31"/>
  <c r="R5" i="33"/>
  <c r="R14" i="24"/>
  <c r="C30" i="24"/>
  <c r="R14" i="32"/>
  <c r="R10" i="32"/>
  <c r="R20" i="24"/>
  <c r="R10" i="33"/>
  <c r="R28" i="31"/>
  <c r="R25" i="31"/>
  <c r="R8" i="24"/>
  <c r="R21" i="33"/>
  <c r="R25" i="33"/>
  <c r="R6" i="24"/>
  <c r="R12" i="33"/>
  <c r="R17" i="32"/>
  <c r="R19" i="32"/>
  <c r="R24" i="33"/>
  <c r="R24" i="32"/>
  <c r="R13" i="24"/>
  <c r="R7" i="33"/>
  <c r="R27" i="24"/>
  <c r="R22" i="31"/>
  <c r="R8" i="32"/>
  <c r="C31" i="32"/>
  <c r="R25" i="24"/>
  <c r="C31" i="24"/>
  <c r="R26" i="33"/>
  <c r="R15" i="32"/>
  <c r="R12" i="24"/>
  <c r="R4" i="24"/>
  <c r="R18" i="31"/>
  <c r="C29" i="33"/>
  <c r="C29" i="32"/>
  <c r="R4" i="33"/>
  <c r="R26" i="31"/>
  <c r="R18" i="33"/>
  <c r="R14" i="31"/>
  <c r="R15" i="24"/>
  <c r="R23" i="33"/>
  <c r="R9" i="24"/>
  <c r="R21" i="32"/>
  <c r="R11" i="32"/>
  <c r="R5" i="32"/>
  <c r="R13" i="32"/>
  <c r="R26" i="32"/>
  <c r="R15" i="31"/>
  <c r="C29" i="24"/>
  <c r="R7" i="24"/>
  <c r="C30" i="32"/>
  <c r="R16" i="33"/>
  <c r="R19" i="24"/>
  <c r="R9" i="31"/>
  <c r="R27" i="33"/>
  <c r="R17" i="33"/>
  <c r="R13" i="31"/>
  <c r="R28" i="33"/>
  <c r="R24" i="24"/>
  <c r="C31" i="33"/>
  <c r="R11" i="33"/>
  <c r="R11" i="31"/>
  <c r="R7" i="32"/>
  <c r="R23" i="31"/>
  <c r="R27" i="31"/>
  <c r="R4" i="32"/>
  <c r="R6" i="31"/>
  <c r="R11" i="24"/>
  <c r="C30" i="33"/>
  <c r="R20" i="33"/>
  <c r="R7" i="31"/>
  <c r="R12" i="31"/>
  <c r="R14" i="33"/>
  <c r="R23" i="24"/>
  <c r="R9" i="32"/>
  <c r="R17" i="31"/>
  <c r="R21" i="31"/>
  <c r="R20" i="31"/>
  <c r="R19" i="33"/>
  <c r="R5" i="24"/>
  <c r="R22" i="33"/>
  <c r="R6" i="32"/>
  <c r="R4" i="31"/>
  <c r="R9" i="33"/>
  <c r="R16" i="31"/>
  <c r="R18" i="32"/>
  <c r="B32" i="33" l="1"/>
  <c r="B32" i="31"/>
  <c r="B29" i="31"/>
  <c r="B31" i="31"/>
  <c r="B32" i="24"/>
  <c r="B31" i="24"/>
  <c r="B29" i="32"/>
  <c r="B31" i="32"/>
  <c r="B30" i="32"/>
  <c r="B30" i="31"/>
  <c r="B30" i="24"/>
  <c r="R18" i="24"/>
  <c r="R20" i="32"/>
  <c r="R10" i="24"/>
  <c r="R26" i="24"/>
  <c r="R12" i="32"/>
  <c r="R28" i="32"/>
  <c r="B32" i="32" l="1"/>
  <c r="B29" i="33"/>
  <c r="B30" i="33"/>
  <c r="B31" i="33"/>
  <c r="B29" i="24"/>
</calcChain>
</file>

<file path=xl/sharedStrings.xml><?xml version="1.0" encoding="utf-8"?>
<sst xmlns="http://schemas.openxmlformats.org/spreadsheetml/2006/main" count="132" uniqueCount="45">
  <si>
    <t>(m)</t>
  </si>
  <si>
    <t>(m/d)</t>
  </si>
  <si>
    <t>K'/B'</t>
  </si>
  <si>
    <t>Time</t>
  </si>
  <si>
    <t>Pumped aquifer</t>
  </si>
  <si>
    <r>
      <t>(m</t>
    </r>
    <r>
      <rPr>
        <vertAlign val="superscript"/>
        <sz val="10"/>
        <rFont val="Arial"/>
        <family val="2"/>
      </rPr>
      <t>2</t>
    </r>
    <r>
      <rPr>
        <sz val="10"/>
        <rFont val="Arial"/>
        <family val="2"/>
      </rPr>
      <t>/d)</t>
    </r>
  </si>
  <si>
    <r>
      <t>(d</t>
    </r>
    <r>
      <rPr>
        <vertAlign val="superscript"/>
        <sz val="10"/>
        <rFont val="Arial"/>
        <family val="2"/>
      </rPr>
      <t>-1</t>
    </r>
    <r>
      <rPr>
        <sz val="10"/>
        <rFont val="Arial"/>
        <family val="2"/>
      </rPr>
      <t>)</t>
    </r>
  </si>
  <si>
    <t>(days)</t>
  </si>
  <si>
    <t>(L/s)</t>
  </si>
  <si>
    <t>-</t>
  </si>
  <si>
    <t>Aquitard</t>
  </si>
  <si>
    <t>Streambed</t>
  </si>
  <si>
    <t>Well</t>
  </si>
  <si>
    <r>
      <t xml:space="preserve">Transmissivity </t>
    </r>
    <r>
      <rPr>
        <sz val="10"/>
        <rFont val="Arial"/>
        <family val="2"/>
      </rPr>
      <t xml:space="preserve">(T) </t>
    </r>
  </si>
  <si>
    <r>
      <t xml:space="preserve">Storage coefficient </t>
    </r>
    <r>
      <rPr>
        <sz val="10"/>
        <rFont val="Arial"/>
        <family val="2"/>
      </rPr>
      <t>(S)</t>
    </r>
  </si>
  <si>
    <t>Time (days)</t>
  </si>
  <si>
    <t>q (L/s)</t>
  </si>
  <si>
    <t>%</t>
  </si>
  <si>
    <r>
      <t xml:space="preserve">Specific yield </t>
    </r>
    <r>
      <rPr>
        <sz val="10"/>
        <rFont val="Arial"/>
        <family val="2"/>
      </rPr>
      <t>(S</t>
    </r>
    <r>
      <rPr>
        <vertAlign val="subscript"/>
        <sz val="10"/>
        <rFont val="Arial"/>
        <family val="2"/>
      </rPr>
      <t>y</t>
    </r>
    <r>
      <rPr>
        <sz val="10"/>
        <rFont val="Arial"/>
        <family val="2"/>
      </rPr>
      <t xml:space="preserve">) </t>
    </r>
  </si>
  <si>
    <r>
      <t xml:space="preserve">Hydraulic conductivity </t>
    </r>
    <r>
      <rPr>
        <sz val="10"/>
        <rFont val="Arial"/>
        <family val="2"/>
      </rPr>
      <t xml:space="preserve">(K') </t>
    </r>
  </si>
  <si>
    <r>
      <t>Thickness</t>
    </r>
    <r>
      <rPr>
        <sz val="10"/>
        <rFont val="Arial"/>
        <family val="2"/>
      </rPr>
      <t xml:space="preserve"> (B') </t>
    </r>
  </si>
  <si>
    <r>
      <t xml:space="preserve">Hydraulic conductivity </t>
    </r>
    <r>
      <rPr>
        <sz val="10"/>
        <rFont val="Arial"/>
        <family val="2"/>
      </rPr>
      <t xml:space="preserve">(K") </t>
    </r>
  </si>
  <si>
    <r>
      <t xml:space="preserve">Thickness </t>
    </r>
    <r>
      <rPr>
        <sz val="10"/>
        <rFont val="Arial"/>
        <family val="2"/>
      </rPr>
      <t xml:space="preserve">(B") </t>
    </r>
  </si>
  <si>
    <r>
      <t xml:space="preserve">Width </t>
    </r>
    <r>
      <rPr>
        <sz val="10"/>
        <rFont val="Arial"/>
        <family val="2"/>
      </rPr>
      <t xml:space="preserve">(W) </t>
    </r>
  </si>
  <si>
    <r>
      <t xml:space="preserve">Stream bed conductance </t>
    </r>
    <r>
      <rPr>
        <sz val="10"/>
        <rFont val="Arial"/>
        <family val="2"/>
      </rPr>
      <t xml:space="preserve">(λ) </t>
    </r>
  </si>
  <si>
    <t>Stream depletion analysis - Hunt (1999) solution</t>
  </si>
  <si>
    <t>Stream depletion analysis - Hunt (2003) solution</t>
  </si>
  <si>
    <r>
      <t xml:space="preserve">Pumping rate </t>
    </r>
    <r>
      <rPr>
        <sz val="10"/>
        <rFont val="Arial"/>
        <family val="2"/>
      </rPr>
      <t xml:space="preserve">(Q) </t>
    </r>
  </si>
  <si>
    <r>
      <t xml:space="preserve">Separation distance </t>
    </r>
    <r>
      <rPr>
        <sz val="10"/>
        <rFont val="Arial"/>
        <family val="2"/>
      </rPr>
      <t>(L)</t>
    </r>
  </si>
  <si>
    <t>Depletion Rate</t>
  </si>
  <si>
    <t>Stream depletion factor (sdf)</t>
  </si>
  <si>
    <t>Stream depletion analysis - Theis (Jenkins) solution</t>
  </si>
  <si>
    <t>Setting lambda to a very high value will give Theis solution</t>
  </si>
  <si>
    <t>Stream depletion after</t>
  </si>
  <si>
    <t>Setting K'/B' to zreo gives Hunt 1999 solution</t>
  </si>
  <si>
    <t>Upper Aquifer</t>
  </si>
  <si>
    <t>Stream depletion analysis - Ward Lough (2011) solution</t>
  </si>
  <si>
    <r>
      <t xml:space="preserve">Specific yield </t>
    </r>
    <r>
      <rPr>
        <sz val="10"/>
        <rFont val="Arial"/>
        <family val="2"/>
      </rPr>
      <t xml:space="preserve">(S1) </t>
    </r>
  </si>
  <si>
    <t>Overlying T (T1)</t>
  </si>
  <si>
    <r>
      <t xml:space="preserve">Transmissivity </t>
    </r>
    <r>
      <rPr>
        <sz val="10"/>
        <rFont val="Arial"/>
        <family val="2"/>
      </rPr>
      <t xml:space="preserve">(T2) </t>
    </r>
  </si>
  <si>
    <r>
      <t xml:space="preserve">Storage coefficient </t>
    </r>
    <r>
      <rPr>
        <sz val="10"/>
        <rFont val="Arial"/>
        <family val="2"/>
      </rPr>
      <t>(S2)</t>
    </r>
  </si>
  <si>
    <t>Setting K'/B' to a large number and either:</t>
  </si>
  <si>
    <t xml:space="preserve">Double lambda or </t>
  </si>
  <si>
    <t>Set T1=T2 = T/2 and S1=S2=S/2 (effective T and S)</t>
  </si>
  <si>
    <t>will approximate Hunt 1999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</si>
</sst>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0"/>
      <name val="Arial"/>
    </font>
    <font>
      <b/>
      <sz val="10"/>
      <name val="Arial"/>
      <family val="2"/>
    </font>
    <font>
      <sz val="10"/>
      <name val="Arial"/>
      <family val="2"/>
    </font>
    <font>
      <sz val="10"/>
      <name val="Arial"/>
      <family val="2"/>
    </font>
    <font>
      <sz val="10"/>
      <name val="Times New Roman"/>
      <family val="1"/>
    </font>
    <font>
      <sz val="8"/>
      <name val="Arial"/>
      <family val="2"/>
    </font>
    <font>
      <b/>
      <sz val="10"/>
      <name val="Arial"/>
      <family val="2"/>
    </font>
    <font>
      <vertAlign val="superscript"/>
      <sz val="10"/>
      <name val="Arial"/>
      <family val="2"/>
    </font>
    <font>
      <i/>
      <sz val="10"/>
      <name val="Arial"/>
      <family val="2"/>
    </font>
    <font>
      <b/>
      <i/>
      <sz val="10"/>
      <name val="Arial"/>
      <family val="2"/>
    </font>
    <font>
      <b/>
      <sz val="11"/>
      <name val="Arial"/>
      <family val="2"/>
    </font>
    <font>
      <sz val="11"/>
      <name val="Arial"/>
      <family val="2"/>
    </font>
    <font>
      <vertAlign val="subscript"/>
      <sz val="10"/>
      <name val="Arial"/>
      <family val="2"/>
    </font>
    <font>
      <b/>
      <sz val="14"/>
      <color indexed="9"/>
      <name val="Arial"/>
      <family val="2"/>
    </font>
    <font>
      <sz val="10"/>
      <color indexed="9"/>
      <name val="Arial"/>
      <family val="2"/>
    </font>
  </fonts>
  <fills count="7">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27"/>
        <bgColor indexed="64"/>
      </patternFill>
    </fill>
    <fill>
      <patternFill patternType="solid">
        <fgColor indexed="43"/>
        <bgColor indexed="64"/>
      </patternFill>
    </fill>
    <fill>
      <patternFill patternType="solid">
        <fgColor indexed="63"/>
        <bgColor indexed="64"/>
      </patternFill>
    </fill>
  </fills>
  <borders count="1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thin">
        <color indexed="64"/>
      </left>
      <right/>
      <top style="thin">
        <color indexed="64"/>
      </top>
      <bottom/>
      <diagonal/>
    </border>
  </borders>
  <cellStyleXfs count="2">
    <xf numFmtId="0" fontId="0" fillId="0" borderId="0"/>
    <xf numFmtId="0" fontId="4" fillId="0" borderId="0"/>
  </cellStyleXfs>
  <cellXfs count="67">
    <xf numFmtId="0" fontId="0" fillId="0" borderId="0" xfId="0"/>
    <xf numFmtId="0" fontId="3" fillId="0" borderId="0" xfId="0" applyNumberFormat="1" applyFont="1" applyFill="1" applyAlignment="1" applyProtection="1">
      <alignment horizontal="center"/>
    </xf>
    <xf numFmtId="164" fontId="6" fillId="2" borderId="0" xfId="0" applyNumberFormat="1" applyFont="1" applyFill="1" applyBorder="1" applyAlignment="1" applyProtection="1">
      <alignment horizontal="center"/>
    </xf>
    <xf numFmtId="1" fontId="3" fillId="0" borderId="0" xfId="0" applyNumberFormat="1" applyFont="1" applyAlignment="1" applyProtection="1">
      <alignment horizontal="center"/>
    </xf>
    <xf numFmtId="0" fontId="3" fillId="0" borderId="0" xfId="0" applyNumberFormat="1" applyFont="1" applyAlignment="1" applyProtection="1">
      <alignment horizontal="center"/>
    </xf>
    <xf numFmtId="0" fontId="6" fillId="2" borderId="1" xfId="0" applyNumberFormat="1" applyFont="1" applyFill="1" applyBorder="1" applyAlignment="1" applyProtection="1">
      <alignment horizontal="center"/>
    </xf>
    <xf numFmtId="11" fontId="3" fillId="0" borderId="0" xfId="0" applyNumberFormat="1" applyFont="1" applyFill="1" applyAlignment="1" applyProtection="1">
      <alignment horizontal="center"/>
    </xf>
    <xf numFmtId="164" fontId="6" fillId="2" borderId="1" xfId="0" applyNumberFormat="1" applyFont="1" applyFill="1" applyBorder="1" applyAlignment="1" applyProtection="1">
      <alignment horizontal="center"/>
    </xf>
    <xf numFmtId="164" fontId="3" fillId="0" borderId="0" xfId="0" applyNumberFormat="1" applyFont="1" applyAlignment="1" applyProtection="1">
      <alignment horizontal="center"/>
    </xf>
    <xf numFmtId="0" fontId="6" fillId="0" borderId="0" xfId="0" applyNumberFormat="1" applyFont="1" applyFill="1" applyBorder="1" applyAlignment="1" applyProtection="1">
      <alignment horizontal="center"/>
    </xf>
    <xf numFmtId="0" fontId="3" fillId="0" borderId="0"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64" fontId="3" fillId="0" borderId="0" xfId="0" applyNumberFormat="1" applyFont="1" applyFill="1" applyBorder="1" applyAlignment="1" applyProtection="1">
      <alignment horizontal="center"/>
    </xf>
    <xf numFmtId="0" fontId="6" fillId="0" borderId="0" xfId="0" applyNumberFormat="1" applyFont="1" applyAlignment="1" applyProtection="1">
      <alignment horizontal="right"/>
    </xf>
    <xf numFmtId="0" fontId="3" fillId="0" borderId="0" xfId="1" applyFont="1" applyAlignment="1" applyProtection="1">
      <alignment horizontal="left" vertical="top"/>
    </xf>
    <xf numFmtId="0" fontId="0" fillId="0" borderId="0" xfId="0" applyProtection="1"/>
    <xf numFmtId="0" fontId="3" fillId="3" borderId="0" xfId="0" applyNumberFormat="1" applyFont="1" applyFill="1" applyAlignment="1" applyProtection="1">
      <alignment horizontal="center"/>
    </xf>
    <xf numFmtId="1" fontId="3" fillId="0" borderId="0" xfId="0" applyNumberFormat="1" applyFont="1" applyFill="1" applyAlignment="1" applyProtection="1">
      <alignment horizontal="center"/>
    </xf>
    <xf numFmtId="0" fontId="10" fillId="2" borderId="0" xfId="1" applyFont="1" applyFill="1" applyBorder="1" applyAlignment="1" applyProtection="1"/>
    <xf numFmtId="0" fontId="8" fillId="0" borderId="0" xfId="0" applyNumberFormat="1" applyFont="1" applyFill="1" applyAlignment="1" applyProtection="1">
      <alignment horizontal="right" vertical="center" wrapText="1"/>
    </xf>
    <xf numFmtId="0" fontId="8" fillId="0" borderId="0" xfId="0" applyNumberFormat="1" applyFont="1" applyFill="1" applyAlignment="1" applyProtection="1">
      <alignment horizontal="right"/>
    </xf>
    <xf numFmtId="0" fontId="3" fillId="4" borderId="2" xfId="1" applyFont="1" applyFill="1" applyBorder="1" applyAlignment="1" applyProtection="1">
      <alignment horizontal="center"/>
      <protection locked="0"/>
    </xf>
    <xf numFmtId="0" fontId="3" fillId="0" borderId="0" xfId="0" applyNumberFormat="1" applyFont="1" applyBorder="1" applyAlignment="1" applyProtection="1">
      <alignment horizontal="center"/>
    </xf>
    <xf numFmtId="0" fontId="3" fillId="2" borderId="0" xfId="0" applyNumberFormat="1" applyFont="1" applyFill="1" applyAlignment="1" applyProtection="1">
      <alignment horizontal="center"/>
    </xf>
    <xf numFmtId="0" fontId="3" fillId="2" borderId="0" xfId="0" applyNumberFormat="1" applyFont="1" applyFill="1" applyBorder="1" applyAlignment="1" applyProtection="1">
      <alignment horizontal="center"/>
    </xf>
    <xf numFmtId="0" fontId="11" fillId="2" borderId="0" xfId="0" applyFont="1" applyFill="1" applyAlignment="1"/>
    <xf numFmtId="0" fontId="3" fillId="0" borderId="3" xfId="0" applyNumberFormat="1" applyFont="1" applyFill="1" applyBorder="1" applyAlignment="1" applyProtection="1">
      <alignment horizontal="center"/>
    </xf>
    <xf numFmtId="1" fontId="3" fillId="0" borderId="4" xfId="0" applyNumberFormat="1" applyFont="1" applyBorder="1" applyAlignment="1" applyProtection="1">
      <alignment horizontal="center"/>
    </xf>
    <xf numFmtId="0" fontId="3" fillId="0" borderId="5" xfId="0" applyNumberFormat="1" applyFont="1" applyFill="1" applyBorder="1" applyAlignment="1" applyProtection="1">
      <alignment horizontal="center"/>
    </xf>
    <xf numFmtId="0" fontId="3" fillId="4" borderId="6" xfId="1" applyFont="1" applyFill="1" applyBorder="1" applyAlignment="1" applyProtection="1">
      <alignment horizontal="center"/>
      <protection locked="0"/>
    </xf>
    <xf numFmtId="0" fontId="3" fillId="4" borderId="7" xfId="1" applyFont="1" applyFill="1" applyBorder="1" applyAlignment="1" applyProtection="1">
      <alignment horizontal="center"/>
      <protection locked="0"/>
    </xf>
    <xf numFmtId="0" fontId="10" fillId="2" borderId="0" xfId="0" applyNumberFormat="1" applyFont="1" applyFill="1" applyBorder="1" applyAlignment="1" applyProtection="1">
      <alignment horizontal="left"/>
    </xf>
    <xf numFmtId="0" fontId="6" fillId="2" borderId="0" xfId="0" applyNumberFormat="1" applyFont="1" applyFill="1" applyBorder="1" applyAlignment="1" applyProtection="1">
      <alignment horizontal="left"/>
    </xf>
    <xf numFmtId="0" fontId="8" fillId="0" borderId="0" xfId="1" applyFont="1" applyFill="1" applyBorder="1" applyAlignment="1" applyProtection="1">
      <alignment horizontal="right"/>
    </xf>
    <xf numFmtId="0" fontId="3" fillId="0" borderId="0" xfId="1" applyFont="1" applyFill="1" applyBorder="1" applyAlignment="1" applyProtection="1">
      <alignment horizontal="center"/>
      <protection locked="0"/>
    </xf>
    <xf numFmtId="0" fontId="3" fillId="2" borderId="0" xfId="1" applyFont="1" applyFill="1" applyBorder="1" applyAlignment="1" applyProtection="1">
      <alignment horizontal="left" vertical="top" wrapText="1"/>
    </xf>
    <xf numFmtId="0" fontId="0" fillId="2" borderId="0" xfId="0" applyFill="1"/>
    <xf numFmtId="0" fontId="14" fillId="0" borderId="0" xfId="0" applyNumberFormat="1" applyFont="1" applyFill="1" applyAlignment="1" applyProtection="1">
      <alignment horizontal="center"/>
    </xf>
    <xf numFmtId="0" fontId="6" fillId="2" borderId="0" xfId="0" applyNumberFormat="1" applyFont="1" applyFill="1" applyBorder="1" applyAlignment="1" applyProtection="1">
      <alignment horizontal="center"/>
    </xf>
    <xf numFmtId="164" fontId="3" fillId="5" borderId="2" xfId="0" applyNumberFormat="1" applyFont="1" applyFill="1" applyBorder="1" applyAlignment="1" applyProtection="1">
      <alignment horizontal="center"/>
      <protection locked="0"/>
    </xf>
    <xf numFmtId="164" fontId="3" fillId="3" borderId="2" xfId="0" applyNumberFormat="1" applyFont="1" applyFill="1" applyBorder="1" applyAlignment="1" applyProtection="1">
      <alignment horizontal="center"/>
    </xf>
    <xf numFmtId="0" fontId="3" fillId="0" borderId="0" xfId="0" applyNumberFormat="1" applyFont="1" applyFill="1" applyAlignment="1" applyProtection="1">
      <alignment horizontal="left"/>
    </xf>
    <xf numFmtId="9" fontId="6" fillId="0" borderId="0" xfId="0" applyNumberFormat="1" applyFont="1" applyFill="1" applyAlignment="1" applyProtection="1">
      <alignment horizontal="center"/>
    </xf>
    <xf numFmtId="1" fontId="6" fillId="3" borderId="0" xfId="1" applyNumberFormat="1" applyFont="1" applyFill="1" applyBorder="1" applyAlignment="1" applyProtection="1">
      <alignment horizontal="center"/>
    </xf>
    <xf numFmtId="0" fontId="3" fillId="0" borderId="8" xfId="0" applyNumberFormat="1" applyFont="1" applyFill="1" applyBorder="1" applyAlignment="1" applyProtection="1">
      <alignment horizontal="center"/>
    </xf>
    <xf numFmtId="0" fontId="6" fillId="0" borderId="0" xfId="0" applyNumberFormat="1" applyFont="1" applyBorder="1" applyAlignment="1" applyProtection="1">
      <alignment horizontal="right"/>
    </xf>
    <xf numFmtId="0" fontId="9" fillId="0" borderId="0" xfId="0" applyNumberFormat="1" applyFont="1" applyFill="1" applyAlignment="1" applyProtection="1">
      <alignment horizontal="right"/>
    </xf>
    <xf numFmtId="9" fontId="6" fillId="0" borderId="9" xfId="0" applyNumberFormat="1" applyFont="1" applyFill="1" applyBorder="1" applyAlignment="1" applyProtection="1">
      <alignment horizontal="center"/>
    </xf>
    <xf numFmtId="0" fontId="0" fillId="0" borderId="0" xfId="0" applyBorder="1"/>
    <xf numFmtId="0" fontId="3" fillId="0" borderId="0" xfId="1" applyFont="1" applyFill="1" applyBorder="1" applyAlignment="1" applyProtection="1">
      <alignment horizontal="center"/>
    </xf>
    <xf numFmtId="0" fontId="10" fillId="2" borderId="0" xfId="0" applyNumberFormat="1" applyFont="1" applyFill="1" applyBorder="1" applyAlignment="1" applyProtection="1"/>
    <xf numFmtId="0" fontId="3" fillId="4" borderId="10" xfId="0" applyNumberFormat="1" applyFont="1" applyFill="1" applyBorder="1" applyAlignment="1" applyProtection="1">
      <alignment horizontal="center"/>
      <protection locked="0"/>
    </xf>
    <xf numFmtId="0" fontId="3" fillId="4" borderId="0" xfId="0" applyNumberFormat="1" applyFont="1" applyFill="1" applyAlignment="1" applyProtection="1">
      <alignment horizontal="center"/>
      <protection locked="0"/>
    </xf>
    <xf numFmtId="164" fontId="6" fillId="2" borderId="0" xfId="0" applyNumberFormat="1" applyFont="1" applyFill="1" applyBorder="1" applyAlignment="1" applyProtection="1">
      <alignment horizontal="center"/>
    </xf>
    <xf numFmtId="0" fontId="2" fillId="0" borderId="0" xfId="0" applyNumberFormat="1" applyFont="1" applyFill="1" applyAlignment="1" applyProtection="1">
      <alignment horizontal="right"/>
    </xf>
    <xf numFmtId="0" fontId="2" fillId="0" borderId="0" xfId="0" applyNumberFormat="1" applyFont="1" applyFill="1" applyAlignment="1" applyProtection="1">
      <alignment horizontal="left"/>
    </xf>
    <xf numFmtId="0" fontId="10" fillId="0" borderId="0" xfId="0" applyNumberFormat="1" applyFont="1" applyFill="1" applyBorder="1" applyAlignment="1" applyProtection="1">
      <alignment horizontal="left"/>
    </xf>
    <xf numFmtId="9" fontId="3" fillId="0" borderId="0" xfId="1" applyNumberFormat="1" applyFont="1" applyFill="1" applyBorder="1" applyAlignment="1" applyProtection="1">
      <alignment horizontal="center"/>
      <protection locked="0"/>
    </xf>
    <xf numFmtId="164" fontId="3" fillId="0" borderId="0" xfId="0" applyNumberFormat="1" applyFont="1" applyAlignment="1" applyProtection="1">
      <alignment horizontal="left"/>
    </xf>
    <xf numFmtId="164" fontId="2" fillId="0" borderId="0" xfId="0" applyNumberFormat="1" applyFont="1" applyAlignment="1" applyProtection="1">
      <alignment horizontal="left"/>
    </xf>
    <xf numFmtId="0" fontId="2" fillId="4" borderId="2" xfId="1" applyFont="1" applyFill="1" applyBorder="1" applyAlignment="1" applyProtection="1">
      <alignment horizontal="center"/>
      <protection locked="0"/>
    </xf>
    <xf numFmtId="164" fontId="6" fillId="2" borderId="0" xfId="0" applyNumberFormat="1" applyFont="1" applyFill="1" applyBorder="1" applyAlignment="1" applyProtection="1">
      <alignment horizontal="center"/>
    </xf>
    <xf numFmtId="0" fontId="8" fillId="0" borderId="0" xfId="0" applyNumberFormat="1" applyFont="1" applyFill="1" applyBorder="1" applyAlignment="1" applyProtection="1">
      <alignment horizontal="right"/>
    </xf>
    <xf numFmtId="0" fontId="13" fillId="6" borderId="0" xfId="0" applyNumberFormat="1" applyFont="1" applyFill="1" applyAlignment="1" applyProtection="1">
      <alignment horizontal="center"/>
    </xf>
    <xf numFmtId="0" fontId="10" fillId="2" borderId="0" xfId="1" applyFont="1" applyFill="1" applyBorder="1" applyAlignment="1" applyProtection="1"/>
    <xf numFmtId="0" fontId="11" fillId="0" borderId="0" xfId="0" applyFont="1" applyAlignment="1"/>
  </cellXfs>
  <cellStyles count="2">
    <cellStyle name="Normal" xfId="0" builtinId="0"/>
    <cellStyle name="Normal_Waimakariri Stream Depletion"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087353324641456E-2"/>
          <c:y val="3.5124002376842531E-2"/>
          <c:w val="0.8513689700130378"/>
          <c:h val="0.78305864122490121"/>
        </c:manualLayout>
      </c:layout>
      <c:scatterChart>
        <c:scatterStyle val="smoothMarker"/>
        <c:varyColors val="0"/>
        <c:ser>
          <c:idx val="0"/>
          <c:order val="0"/>
          <c:tx>
            <c:strRef>
              <c:f>'Theis(1935)(Jenkins)'!$R$2</c:f>
              <c:strCache>
                <c:ptCount val="1"/>
                <c:pt idx="0">
                  <c:v>Depletion Rate</c:v>
                </c:pt>
              </c:strCache>
            </c:strRef>
          </c:tx>
          <c:spPr>
            <a:ln w="12700">
              <a:solidFill>
                <a:srgbClr val="FF0000"/>
              </a:solidFill>
              <a:prstDash val="lgDash"/>
            </a:ln>
          </c:spPr>
          <c:marker>
            <c:symbol val="none"/>
          </c:marker>
          <c:xVal>
            <c:numRef>
              <c:f>'Theis(1935)(Jenkins)'!$Q$4:$Q$28</c:f>
              <c:numCache>
                <c:formatCode>0.0</c:formatCode>
                <c:ptCount val="25"/>
                <c:pt idx="0">
                  <c:v>1</c:v>
                </c:pt>
                <c:pt idx="1">
                  <c:v>2</c:v>
                </c:pt>
                <c:pt idx="2">
                  <c:v>3</c:v>
                </c:pt>
                <c:pt idx="3">
                  <c:v>4</c:v>
                </c:pt>
                <c:pt idx="4">
                  <c:v>5</c:v>
                </c:pt>
                <c:pt idx="5">
                  <c:v>6</c:v>
                </c:pt>
                <c:pt idx="6">
                  <c:v>7</c:v>
                </c:pt>
                <c:pt idx="7">
                  <c:v>8</c:v>
                </c:pt>
                <c:pt idx="8">
                  <c:v>9</c:v>
                </c:pt>
                <c:pt idx="9">
                  <c:v>10</c:v>
                </c:pt>
                <c:pt idx="10">
                  <c:v>15</c:v>
                </c:pt>
                <c:pt idx="11">
                  <c:v>20</c:v>
                </c:pt>
                <c:pt idx="12">
                  <c:v>25</c:v>
                </c:pt>
                <c:pt idx="13">
                  <c:v>30</c:v>
                </c:pt>
                <c:pt idx="14">
                  <c:v>50</c:v>
                </c:pt>
                <c:pt idx="15">
                  <c:v>60</c:v>
                </c:pt>
                <c:pt idx="16">
                  <c:v>70</c:v>
                </c:pt>
                <c:pt idx="17">
                  <c:v>80</c:v>
                </c:pt>
                <c:pt idx="18">
                  <c:v>90</c:v>
                </c:pt>
                <c:pt idx="19">
                  <c:v>100</c:v>
                </c:pt>
                <c:pt idx="20">
                  <c:v>150</c:v>
                </c:pt>
                <c:pt idx="21">
                  <c:v>200</c:v>
                </c:pt>
                <c:pt idx="22">
                  <c:v>250</c:v>
                </c:pt>
                <c:pt idx="23">
                  <c:v>300</c:v>
                </c:pt>
                <c:pt idx="24">
                  <c:v>400</c:v>
                </c:pt>
              </c:numCache>
            </c:numRef>
          </c:xVal>
          <c:yVal>
            <c:numRef>
              <c:f>'Theis(1935)(Jenkins)'!$R$4:$R$28</c:f>
              <c:numCache>
                <c:formatCode>0.0</c:formatCode>
                <c:ptCount val="25"/>
                <c:pt idx="0">
                  <c:v>2.035177316970033E-2</c:v>
                </c:pt>
                <c:pt idx="1">
                  <c:v>0.62096801114380107</c:v>
                </c:pt>
                <c:pt idx="2">
                  <c:v>2.0613349235039116</c:v>
                </c:pt>
                <c:pt idx="3">
                  <c:v>3.8549890028526366</c:v>
                </c:pt>
                <c:pt idx="4">
                  <c:v>5.6923154384201551</c:v>
                </c:pt>
                <c:pt idx="5">
                  <c:v>7.4457381441010382</c:v>
                </c:pt>
                <c:pt idx="6">
                  <c:v>9.0724668570725164</c:v>
                </c:pt>
                <c:pt idx="7">
                  <c:v>10.564984220537601</c:v>
                </c:pt>
                <c:pt idx="8">
                  <c:v>11.929647648963565</c:v>
                </c:pt>
                <c:pt idx="9">
                  <c:v>13.177628781475335</c:v>
                </c:pt>
                <c:pt idx="10">
                  <c:v>18.065518991362634</c:v>
                </c:pt>
                <c:pt idx="11">
                  <c:v>21.459758826417051</c:v>
                </c:pt>
                <c:pt idx="12">
                  <c:v>23.974999184762641</c:v>
                </c:pt>
                <c:pt idx="13">
                  <c:v>25.93024468937908</c:v>
                </c:pt>
                <c:pt idx="14">
                  <c:v>30.853753727600591</c:v>
                </c:pt>
                <c:pt idx="15">
                  <c:v>32.403845609030292</c:v>
                </c:pt>
                <c:pt idx="16">
                  <c:v>33.630194789182596</c:v>
                </c:pt>
                <c:pt idx="17">
                  <c:v>34.631644320186872</c:v>
                </c:pt>
                <c:pt idx="18">
                  <c:v>35.469411676969983</c:v>
                </c:pt>
                <c:pt idx="19">
                  <c:v>36.183686932323639</c:v>
                </c:pt>
                <c:pt idx="20">
                  <c:v>38.641506312663111</c:v>
                </c:pt>
                <c:pt idx="21">
                  <c:v>40.129372931588634</c:v>
                </c:pt>
                <c:pt idx="22">
                  <c:v>41.153167789772418</c:v>
                </c:pt>
                <c:pt idx="23">
                  <c:v>41.912827106339762</c:v>
                </c:pt>
                <c:pt idx="24">
                  <c:v>42.98419037610438</c:v>
                </c:pt>
              </c:numCache>
            </c:numRef>
          </c:yVal>
          <c:smooth val="0"/>
          <c:extLst>
            <c:ext xmlns:c16="http://schemas.microsoft.com/office/drawing/2014/chart" uri="{C3380CC4-5D6E-409C-BE32-E72D297353CC}">
              <c16:uniqueId val="{00000000-BB4A-4937-BEE2-A6163FD388BD}"/>
            </c:ext>
          </c:extLst>
        </c:ser>
        <c:ser>
          <c:idx val="1"/>
          <c:order val="1"/>
          <c:spPr>
            <a:ln w="28575">
              <a:noFill/>
            </a:ln>
          </c:spPr>
          <c:marker>
            <c:symbol val="diamond"/>
            <c:size val="8"/>
            <c:spPr>
              <a:solidFill>
                <a:srgbClr val="00FFFF"/>
              </a:solidFill>
              <a:ln>
                <a:solidFill>
                  <a:srgbClr val="00FFFF"/>
                </a:solidFill>
                <a:prstDash val="solid"/>
              </a:ln>
            </c:spPr>
          </c:marker>
          <c:xVal>
            <c:numRef>
              <c:f>'Theis(1935)(Jenkins)'!$A$29:$A$32</c:f>
              <c:numCache>
                <c:formatCode>General</c:formatCode>
                <c:ptCount val="4"/>
                <c:pt idx="0">
                  <c:v>7</c:v>
                </c:pt>
                <c:pt idx="1">
                  <c:v>30</c:v>
                </c:pt>
                <c:pt idx="2">
                  <c:v>150</c:v>
                </c:pt>
                <c:pt idx="3">
                  <c:v>365</c:v>
                </c:pt>
              </c:numCache>
            </c:numRef>
          </c:xVal>
          <c:yVal>
            <c:numRef>
              <c:f>'Theis(1935)(Jenkins)'!$B$29:$B$32</c:f>
              <c:numCache>
                <c:formatCode>0</c:formatCode>
                <c:ptCount val="4"/>
                <c:pt idx="0">
                  <c:v>9.0724668570725164</c:v>
                </c:pt>
                <c:pt idx="1">
                  <c:v>25.93024468937908</c:v>
                </c:pt>
                <c:pt idx="2">
                  <c:v>38.641506312663111</c:v>
                </c:pt>
                <c:pt idx="3">
                  <c:v>42.659166626051984</c:v>
                </c:pt>
              </c:numCache>
            </c:numRef>
          </c:yVal>
          <c:smooth val="1"/>
          <c:extLst>
            <c:ext xmlns:c16="http://schemas.microsoft.com/office/drawing/2014/chart" uri="{C3380CC4-5D6E-409C-BE32-E72D297353CC}">
              <c16:uniqueId val="{00000001-BB4A-4937-BEE2-A6163FD388BD}"/>
            </c:ext>
          </c:extLst>
        </c:ser>
        <c:ser>
          <c:idx val="2"/>
          <c:order val="2"/>
          <c:spPr>
            <a:ln w="25400">
              <a:solidFill>
                <a:srgbClr val="FF0000"/>
              </a:solidFill>
              <a:prstDash val="solid"/>
            </a:ln>
          </c:spPr>
          <c:marker>
            <c:symbol val="none"/>
          </c:marker>
          <c:xVal>
            <c:numRef>
              <c:f>'Theis(1935)(Jenkins)'!$Q$4:$Q$28</c:f>
              <c:numCache>
                <c:formatCode>0.0</c:formatCode>
                <c:ptCount val="25"/>
                <c:pt idx="0">
                  <c:v>1</c:v>
                </c:pt>
                <c:pt idx="1">
                  <c:v>2</c:v>
                </c:pt>
                <c:pt idx="2">
                  <c:v>3</c:v>
                </c:pt>
                <c:pt idx="3">
                  <c:v>4</c:v>
                </c:pt>
                <c:pt idx="4">
                  <c:v>5</c:v>
                </c:pt>
                <c:pt idx="5">
                  <c:v>6</c:v>
                </c:pt>
                <c:pt idx="6">
                  <c:v>7</c:v>
                </c:pt>
                <c:pt idx="7">
                  <c:v>8</c:v>
                </c:pt>
                <c:pt idx="8">
                  <c:v>9</c:v>
                </c:pt>
                <c:pt idx="9">
                  <c:v>10</c:v>
                </c:pt>
                <c:pt idx="10">
                  <c:v>15</c:v>
                </c:pt>
                <c:pt idx="11">
                  <c:v>20</c:v>
                </c:pt>
                <c:pt idx="12">
                  <c:v>25</c:v>
                </c:pt>
                <c:pt idx="13">
                  <c:v>30</c:v>
                </c:pt>
                <c:pt idx="14">
                  <c:v>50</c:v>
                </c:pt>
                <c:pt idx="15">
                  <c:v>60</c:v>
                </c:pt>
                <c:pt idx="16">
                  <c:v>70</c:v>
                </c:pt>
                <c:pt idx="17">
                  <c:v>80</c:v>
                </c:pt>
                <c:pt idx="18">
                  <c:v>90</c:v>
                </c:pt>
                <c:pt idx="19">
                  <c:v>100</c:v>
                </c:pt>
                <c:pt idx="20">
                  <c:v>150</c:v>
                </c:pt>
                <c:pt idx="21">
                  <c:v>200</c:v>
                </c:pt>
                <c:pt idx="22">
                  <c:v>250</c:v>
                </c:pt>
                <c:pt idx="23">
                  <c:v>300</c:v>
                </c:pt>
                <c:pt idx="24">
                  <c:v>400</c:v>
                </c:pt>
              </c:numCache>
            </c:numRef>
          </c:xVal>
          <c:yVal>
            <c:numRef>
              <c:f>'Theis(1935)(Jenkins)'!#REF!</c:f>
              <c:numCache>
                <c:formatCode>General</c:formatCode>
                <c:ptCount val="1"/>
                <c:pt idx="0">
                  <c:v>1</c:v>
                </c:pt>
              </c:numCache>
            </c:numRef>
          </c:yVal>
          <c:smooth val="0"/>
          <c:extLst>
            <c:ext xmlns:c16="http://schemas.microsoft.com/office/drawing/2014/chart" uri="{C3380CC4-5D6E-409C-BE32-E72D297353CC}">
              <c16:uniqueId val="{00000002-BB4A-4937-BEE2-A6163FD388BD}"/>
            </c:ext>
          </c:extLst>
        </c:ser>
        <c:dLbls>
          <c:showLegendKey val="0"/>
          <c:showVal val="0"/>
          <c:showCatName val="0"/>
          <c:showSerName val="0"/>
          <c:showPercent val="0"/>
          <c:showBubbleSize val="0"/>
        </c:dLbls>
        <c:axId val="587880655"/>
        <c:axId val="1"/>
      </c:scatterChart>
      <c:valAx>
        <c:axId val="587880655"/>
        <c:scaling>
          <c:orientation val="minMax"/>
          <c:max val="400"/>
        </c:scaling>
        <c:delete val="0"/>
        <c:axPos val="b"/>
        <c:majorGridlines>
          <c:spPr>
            <a:ln w="3175">
              <a:solidFill>
                <a:srgbClr val="969696"/>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Time (days)</a:t>
                </a:r>
              </a:p>
            </c:rich>
          </c:tx>
          <c:layout>
            <c:manualLayout>
              <c:xMode val="edge"/>
              <c:yMode val="edge"/>
              <c:x val="0.46284224250325945"/>
              <c:y val="0.87603392551137715"/>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
        <c:crossesAt val="0.01"/>
        <c:crossBetween val="midCat"/>
      </c:valAx>
      <c:valAx>
        <c:axId val="1"/>
        <c:scaling>
          <c:orientation val="minMax"/>
          <c:min val="0"/>
        </c:scaling>
        <c:delete val="0"/>
        <c:axPos val="l"/>
        <c:majorGridlines>
          <c:spPr>
            <a:ln w="3175">
              <a:solidFill>
                <a:srgbClr val="969696"/>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Stream depletion (L/s)</a:t>
                </a:r>
              </a:p>
            </c:rich>
          </c:tx>
          <c:layout>
            <c:manualLayout>
              <c:xMode val="edge"/>
              <c:yMode val="edge"/>
              <c:x val="1.955671447196871E-2"/>
              <c:y val="0.24793410121255502"/>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587880655"/>
        <c:crossesAt val="0.0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346532049800915E-2"/>
          <c:y val="3.4836065573770489E-2"/>
          <c:w val="0.85098147847921579"/>
          <c:h val="0.7848360655737705"/>
        </c:manualLayout>
      </c:layout>
      <c:scatterChart>
        <c:scatterStyle val="smoothMarker"/>
        <c:varyColors val="0"/>
        <c:ser>
          <c:idx val="0"/>
          <c:order val="0"/>
          <c:tx>
            <c:strRef>
              <c:f>'Hunt(1999)'!$R$2</c:f>
              <c:strCache>
                <c:ptCount val="1"/>
                <c:pt idx="0">
                  <c:v>Depletion Rate</c:v>
                </c:pt>
              </c:strCache>
            </c:strRef>
          </c:tx>
          <c:spPr>
            <a:ln w="12700">
              <a:solidFill>
                <a:srgbClr val="FF0000"/>
              </a:solidFill>
              <a:prstDash val="lgDash"/>
            </a:ln>
          </c:spPr>
          <c:marker>
            <c:symbol val="none"/>
          </c:marker>
          <c:xVal>
            <c:numRef>
              <c:f>'Hunt(1999)'!$Q$4:$Q$28</c:f>
              <c:numCache>
                <c:formatCode>0.0</c:formatCode>
                <c:ptCount val="25"/>
                <c:pt idx="0">
                  <c:v>1</c:v>
                </c:pt>
                <c:pt idx="1">
                  <c:v>2</c:v>
                </c:pt>
                <c:pt idx="2">
                  <c:v>3</c:v>
                </c:pt>
                <c:pt idx="3">
                  <c:v>4</c:v>
                </c:pt>
                <c:pt idx="4">
                  <c:v>5</c:v>
                </c:pt>
                <c:pt idx="5">
                  <c:v>6</c:v>
                </c:pt>
                <c:pt idx="6">
                  <c:v>7</c:v>
                </c:pt>
                <c:pt idx="7">
                  <c:v>8</c:v>
                </c:pt>
                <c:pt idx="8">
                  <c:v>9</c:v>
                </c:pt>
                <c:pt idx="9">
                  <c:v>10</c:v>
                </c:pt>
                <c:pt idx="10">
                  <c:v>15</c:v>
                </c:pt>
                <c:pt idx="11">
                  <c:v>20</c:v>
                </c:pt>
                <c:pt idx="12">
                  <c:v>25</c:v>
                </c:pt>
                <c:pt idx="13">
                  <c:v>30</c:v>
                </c:pt>
                <c:pt idx="14">
                  <c:v>50</c:v>
                </c:pt>
                <c:pt idx="15">
                  <c:v>60</c:v>
                </c:pt>
                <c:pt idx="16">
                  <c:v>70</c:v>
                </c:pt>
                <c:pt idx="17">
                  <c:v>80</c:v>
                </c:pt>
                <c:pt idx="18">
                  <c:v>90</c:v>
                </c:pt>
                <c:pt idx="19">
                  <c:v>100</c:v>
                </c:pt>
                <c:pt idx="20">
                  <c:v>150</c:v>
                </c:pt>
                <c:pt idx="21">
                  <c:v>200</c:v>
                </c:pt>
                <c:pt idx="22">
                  <c:v>250</c:v>
                </c:pt>
                <c:pt idx="23">
                  <c:v>300</c:v>
                </c:pt>
                <c:pt idx="24">
                  <c:v>400</c:v>
                </c:pt>
              </c:numCache>
            </c:numRef>
          </c:xVal>
          <c:yVal>
            <c:numRef>
              <c:f>'Hunt(1999)'!$R$4:$R$28</c:f>
              <c:numCache>
                <c:formatCode>0.0</c:formatCode>
                <c:ptCount val="25"/>
                <c:pt idx="0">
                  <c:v>4.085347074141093E-3</c:v>
                </c:pt>
                <c:pt idx="1">
                  <c:v>0.60409366054461711</c:v>
                </c:pt>
                <c:pt idx="2">
                  <c:v>2.0502288910279849</c:v>
                </c:pt>
                <c:pt idx="3">
                  <c:v>3.8283214552138554</c:v>
                </c:pt>
                <c:pt idx="4">
                  <c:v>5.6442478316744644</c:v>
                </c:pt>
                <c:pt idx="5">
                  <c:v>7.3783408281297103</c:v>
                </c:pt>
                <c:pt idx="6">
                  <c:v>8.9898804663554834</c:v>
                </c:pt>
                <c:pt idx="7">
                  <c:v>10.471233042976895</c:v>
                </c:pt>
                <c:pt idx="8">
                  <c:v>11.828041654117879</c:v>
                </c:pt>
                <c:pt idx="9">
                  <c:v>13.070720169472494</c:v>
                </c:pt>
                <c:pt idx="10">
                  <c:v>17.952424862284733</c:v>
                </c:pt>
                <c:pt idx="11">
                  <c:v>21.352310040320031</c:v>
                </c:pt>
                <c:pt idx="12">
                  <c:v>23.874871413686066</c:v>
                </c:pt>
                <c:pt idx="13">
                  <c:v>25.836901673968772</c:v>
                </c:pt>
                <c:pt idx="14">
                  <c:v>30.779243284537973</c:v>
                </c:pt>
                <c:pt idx="15">
                  <c:v>32.335357252757255</c:v>
                </c:pt>
                <c:pt idx="16">
                  <c:v>33.566432868482444</c:v>
                </c:pt>
                <c:pt idx="17">
                  <c:v>34.571711113240454</c:v>
                </c:pt>
                <c:pt idx="18">
                  <c:v>35.412660660750149</c:v>
                </c:pt>
                <c:pt idx="19">
                  <c:v>36.12963619121625</c:v>
                </c:pt>
                <c:pt idx="20">
                  <c:v>38.596698838832175</c:v>
                </c:pt>
                <c:pt idx="21">
                  <c:v>40.090172597619741</c:v>
                </c:pt>
                <c:pt idx="22">
                  <c:v>41.117855046724308</c:v>
                </c:pt>
                <c:pt idx="23">
                  <c:v>41.880422112257307</c:v>
                </c:pt>
                <c:pt idx="24">
                  <c:v>42.955927382787948</c:v>
                </c:pt>
              </c:numCache>
            </c:numRef>
          </c:yVal>
          <c:smooth val="0"/>
          <c:extLst>
            <c:ext xmlns:c16="http://schemas.microsoft.com/office/drawing/2014/chart" uri="{C3380CC4-5D6E-409C-BE32-E72D297353CC}">
              <c16:uniqueId val="{00000000-787D-480B-9ABC-CA29F48E633E}"/>
            </c:ext>
          </c:extLst>
        </c:ser>
        <c:ser>
          <c:idx val="1"/>
          <c:order val="1"/>
          <c:spPr>
            <a:ln w="28575">
              <a:noFill/>
            </a:ln>
          </c:spPr>
          <c:marker>
            <c:symbol val="diamond"/>
            <c:size val="8"/>
            <c:spPr>
              <a:solidFill>
                <a:srgbClr val="00FFFF"/>
              </a:solidFill>
              <a:ln>
                <a:solidFill>
                  <a:srgbClr val="00FFFF"/>
                </a:solidFill>
                <a:prstDash val="solid"/>
              </a:ln>
            </c:spPr>
          </c:marker>
          <c:xVal>
            <c:numRef>
              <c:f>'Hunt(1999)'!$A$29:$A$32</c:f>
              <c:numCache>
                <c:formatCode>General</c:formatCode>
                <c:ptCount val="4"/>
                <c:pt idx="0">
                  <c:v>7</c:v>
                </c:pt>
                <c:pt idx="1">
                  <c:v>30</c:v>
                </c:pt>
                <c:pt idx="2">
                  <c:v>150</c:v>
                </c:pt>
                <c:pt idx="3">
                  <c:v>365</c:v>
                </c:pt>
              </c:numCache>
            </c:numRef>
          </c:xVal>
          <c:yVal>
            <c:numRef>
              <c:f>'Hunt(1999)'!$B$29:$B$32</c:f>
              <c:numCache>
                <c:formatCode>0</c:formatCode>
                <c:ptCount val="4"/>
                <c:pt idx="0">
                  <c:v>8.9898804663554834</c:v>
                </c:pt>
                <c:pt idx="1">
                  <c:v>25.836901673968772</c:v>
                </c:pt>
                <c:pt idx="2">
                  <c:v>38.596698838832175</c:v>
                </c:pt>
                <c:pt idx="3">
                  <c:v>42.629641580423595</c:v>
                </c:pt>
              </c:numCache>
            </c:numRef>
          </c:yVal>
          <c:smooth val="1"/>
          <c:extLst>
            <c:ext xmlns:c16="http://schemas.microsoft.com/office/drawing/2014/chart" uri="{C3380CC4-5D6E-409C-BE32-E72D297353CC}">
              <c16:uniqueId val="{00000001-787D-480B-9ABC-CA29F48E633E}"/>
            </c:ext>
          </c:extLst>
        </c:ser>
        <c:ser>
          <c:idx val="2"/>
          <c:order val="2"/>
          <c:spPr>
            <a:ln w="25400">
              <a:solidFill>
                <a:srgbClr val="FF0000"/>
              </a:solidFill>
              <a:prstDash val="solid"/>
            </a:ln>
          </c:spPr>
          <c:marker>
            <c:symbol val="none"/>
          </c:marker>
          <c:xVal>
            <c:numRef>
              <c:f>'Hunt(1999)'!$Q$4:$Q$28</c:f>
              <c:numCache>
                <c:formatCode>0.0</c:formatCode>
                <c:ptCount val="25"/>
                <c:pt idx="0">
                  <c:v>1</c:v>
                </c:pt>
                <c:pt idx="1">
                  <c:v>2</c:v>
                </c:pt>
                <c:pt idx="2">
                  <c:v>3</c:v>
                </c:pt>
                <c:pt idx="3">
                  <c:v>4</c:v>
                </c:pt>
                <c:pt idx="4">
                  <c:v>5</c:v>
                </c:pt>
                <c:pt idx="5">
                  <c:v>6</c:v>
                </c:pt>
                <c:pt idx="6">
                  <c:v>7</c:v>
                </c:pt>
                <c:pt idx="7">
                  <c:v>8</c:v>
                </c:pt>
                <c:pt idx="8">
                  <c:v>9</c:v>
                </c:pt>
                <c:pt idx="9">
                  <c:v>10</c:v>
                </c:pt>
                <c:pt idx="10">
                  <c:v>15</c:v>
                </c:pt>
                <c:pt idx="11">
                  <c:v>20</c:v>
                </c:pt>
                <c:pt idx="12">
                  <c:v>25</c:v>
                </c:pt>
                <c:pt idx="13">
                  <c:v>30</c:v>
                </c:pt>
                <c:pt idx="14">
                  <c:v>50</c:v>
                </c:pt>
                <c:pt idx="15">
                  <c:v>60</c:v>
                </c:pt>
                <c:pt idx="16">
                  <c:v>70</c:v>
                </c:pt>
                <c:pt idx="17">
                  <c:v>80</c:v>
                </c:pt>
                <c:pt idx="18">
                  <c:v>90</c:v>
                </c:pt>
                <c:pt idx="19">
                  <c:v>100</c:v>
                </c:pt>
                <c:pt idx="20">
                  <c:v>150</c:v>
                </c:pt>
                <c:pt idx="21">
                  <c:v>200</c:v>
                </c:pt>
                <c:pt idx="22">
                  <c:v>250</c:v>
                </c:pt>
                <c:pt idx="23">
                  <c:v>300</c:v>
                </c:pt>
                <c:pt idx="24">
                  <c:v>400</c:v>
                </c:pt>
              </c:numCache>
            </c:numRef>
          </c:xVal>
          <c:yVal>
            <c:numRef>
              <c:f>'Hunt(1999)'!#REF!</c:f>
              <c:numCache>
                <c:formatCode>General</c:formatCode>
                <c:ptCount val="1"/>
                <c:pt idx="0">
                  <c:v>1</c:v>
                </c:pt>
              </c:numCache>
            </c:numRef>
          </c:yVal>
          <c:smooth val="0"/>
          <c:extLst>
            <c:ext xmlns:c16="http://schemas.microsoft.com/office/drawing/2014/chart" uri="{C3380CC4-5D6E-409C-BE32-E72D297353CC}">
              <c16:uniqueId val="{00000002-787D-480B-9ABC-CA29F48E633E}"/>
            </c:ext>
          </c:extLst>
        </c:ser>
        <c:dLbls>
          <c:showLegendKey val="0"/>
          <c:showVal val="0"/>
          <c:showCatName val="0"/>
          <c:showSerName val="0"/>
          <c:showPercent val="0"/>
          <c:showBubbleSize val="0"/>
        </c:dLbls>
        <c:axId val="587890223"/>
        <c:axId val="1"/>
      </c:scatterChart>
      <c:valAx>
        <c:axId val="587890223"/>
        <c:scaling>
          <c:orientation val="minMax"/>
          <c:max val="400"/>
        </c:scaling>
        <c:delete val="0"/>
        <c:axPos val="b"/>
        <c:majorGridlines>
          <c:spPr>
            <a:ln w="3175">
              <a:solidFill>
                <a:srgbClr val="969696"/>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Time (days)</a:t>
                </a:r>
              </a:p>
            </c:rich>
          </c:tx>
          <c:layout>
            <c:manualLayout>
              <c:xMode val="edge"/>
              <c:yMode val="edge"/>
              <c:x val="0.46274564699020465"/>
              <c:y val="0.87704918032786883"/>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1"/>
        <c:crossesAt val="0.01"/>
        <c:crossBetween val="midCat"/>
      </c:valAx>
      <c:valAx>
        <c:axId val="1"/>
        <c:scaling>
          <c:orientation val="minMax"/>
          <c:min val="0"/>
        </c:scaling>
        <c:delete val="0"/>
        <c:axPos val="l"/>
        <c:majorGridlines>
          <c:spPr>
            <a:ln w="3175">
              <a:solidFill>
                <a:srgbClr val="969696"/>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Stream depletion (L/s)</a:t>
                </a:r>
              </a:p>
            </c:rich>
          </c:tx>
          <c:layout>
            <c:manualLayout>
              <c:xMode val="edge"/>
              <c:yMode val="edge"/>
              <c:x val="1.9607843137254902E-2"/>
              <c:y val="0.25"/>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587890223"/>
        <c:crossesAt val="0.0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606878946489327E-2"/>
          <c:y val="3.4979494155683667E-2"/>
          <c:w val="0.85059032152988912"/>
          <c:h val="0.78395219254796922"/>
        </c:manualLayout>
      </c:layout>
      <c:scatterChart>
        <c:scatterStyle val="smoothMarker"/>
        <c:varyColors val="0"/>
        <c:ser>
          <c:idx val="0"/>
          <c:order val="0"/>
          <c:tx>
            <c:strRef>
              <c:f>'Hunt(2003)'!$R$2</c:f>
              <c:strCache>
                <c:ptCount val="1"/>
                <c:pt idx="0">
                  <c:v>Depletion Rate</c:v>
                </c:pt>
              </c:strCache>
            </c:strRef>
          </c:tx>
          <c:spPr>
            <a:ln w="12700">
              <a:solidFill>
                <a:srgbClr val="FF0000"/>
              </a:solidFill>
              <a:prstDash val="lgDash"/>
            </a:ln>
          </c:spPr>
          <c:marker>
            <c:symbol val="none"/>
          </c:marker>
          <c:xVal>
            <c:numRef>
              <c:f>'Hunt(2003)'!$Q$4:$Q$28</c:f>
              <c:numCache>
                <c:formatCode>0.0</c:formatCode>
                <c:ptCount val="25"/>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150</c:v>
                </c:pt>
                <c:pt idx="20">
                  <c:v>200</c:v>
                </c:pt>
                <c:pt idx="21">
                  <c:v>250</c:v>
                </c:pt>
                <c:pt idx="22">
                  <c:v>300</c:v>
                </c:pt>
                <c:pt idx="23">
                  <c:v>350</c:v>
                </c:pt>
                <c:pt idx="24">
                  <c:v>400</c:v>
                </c:pt>
              </c:numCache>
            </c:numRef>
          </c:xVal>
          <c:yVal>
            <c:numRef>
              <c:f>'Hunt(2003)'!$R$4:$R$28</c:f>
              <c:numCache>
                <c:formatCode>0.0</c:formatCode>
                <c:ptCount val="25"/>
                <c:pt idx="0">
                  <c:v>4.085347074141093E-3</c:v>
                </c:pt>
                <c:pt idx="1">
                  <c:v>0.60409366054461711</c:v>
                </c:pt>
                <c:pt idx="2">
                  <c:v>2.0502288910279849</c:v>
                </c:pt>
                <c:pt idx="3">
                  <c:v>3.8283214552138554</c:v>
                </c:pt>
                <c:pt idx="4">
                  <c:v>5.6442478316744644</c:v>
                </c:pt>
                <c:pt idx="5">
                  <c:v>7.3783408281297103</c:v>
                </c:pt>
                <c:pt idx="6">
                  <c:v>8.9898804663554834</c:v>
                </c:pt>
                <c:pt idx="7">
                  <c:v>10.471233042976895</c:v>
                </c:pt>
                <c:pt idx="8">
                  <c:v>11.828041654117879</c:v>
                </c:pt>
                <c:pt idx="9">
                  <c:v>13.070720169472494</c:v>
                </c:pt>
                <c:pt idx="10">
                  <c:v>21.352310040320031</c:v>
                </c:pt>
                <c:pt idx="11">
                  <c:v>25.836901673968772</c:v>
                </c:pt>
                <c:pt idx="12">
                  <c:v>28.725030635947125</c:v>
                </c:pt>
                <c:pt idx="13">
                  <c:v>30.779243284537973</c:v>
                </c:pt>
                <c:pt idx="14">
                  <c:v>32.335357252757255</c:v>
                </c:pt>
                <c:pt idx="15">
                  <c:v>33.566432868482444</c:v>
                </c:pt>
                <c:pt idx="16">
                  <c:v>34.571711113240454</c:v>
                </c:pt>
                <c:pt idx="17">
                  <c:v>35.412660660750149</c:v>
                </c:pt>
                <c:pt idx="18">
                  <c:v>36.12963619121625</c:v>
                </c:pt>
                <c:pt idx="19">
                  <c:v>38.596698838832175</c:v>
                </c:pt>
                <c:pt idx="20">
                  <c:v>40.090172597619741</c:v>
                </c:pt>
                <c:pt idx="21">
                  <c:v>41.117855046724308</c:v>
                </c:pt>
                <c:pt idx="22">
                  <c:v>41.880422112257307</c:v>
                </c:pt>
                <c:pt idx="23">
                  <c:v>42.475217930278006</c:v>
                </c:pt>
                <c:pt idx="24">
                  <c:v>42.955927382787948</c:v>
                </c:pt>
              </c:numCache>
            </c:numRef>
          </c:yVal>
          <c:smooth val="1"/>
          <c:extLst>
            <c:ext xmlns:c16="http://schemas.microsoft.com/office/drawing/2014/chart" uri="{C3380CC4-5D6E-409C-BE32-E72D297353CC}">
              <c16:uniqueId val="{00000000-B41B-42B1-B35B-AA1FEF8FAC14}"/>
            </c:ext>
          </c:extLst>
        </c:ser>
        <c:ser>
          <c:idx val="1"/>
          <c:order val="1"/>
          <c:spPr>
            <a:ln w="28575">
              <a:noFill/>
            </a:ln>
          </c:spPr>
          <c:marker>
            <c:symbol val="diamond"/>
            <c:size val="8"/>
            <c:spPr>
              <a:solidFill>
                <a:srgbClr val="00FFFF"/>
              </a:solidFill>
              <a:ln>
                <a:solidFill>
                  <a:srgbClr val="00FFFF"/>
                </a:solidFill>
                <a:prstDash val="solid"/>
              </a:ln>
            </c:spPr>
          </c:marker>
          <c:xVal>
            <c:numRef>
              <c:f>'Hunt(2003)'!$A$29:$A$32</c:f>
              <c:numCache>
                <c:formatCode>General</c:formatCode>
                <c:ptCount val="4"/>
                <c:pt idx="0">
                  <c:v>7</c:v>
                </c:pt>
                <c:pt idx="1">
                  <c:v>30</c:v>
                </c:pt>
                <c:pt idx="2">
                  <c:v>150</c:v>
                </c:pt>
                <c:pt idx="3">
                  <c:v>365</c:v>
                </c:pt>
              </c:numCache>
            </c:numRef>
          </c:xVal>
          <c:yVal>
            <c:numRef>
              <c:f>'Hunt(2003)'!$B$29:$B$32</c:f>
              <c:numCache>
                <c:formatCode>0</c:formatCode>
                <c:ptCount val="4"/>
                <c:pt idx="0">
                  <c:v>8.9898804663554834</c:v>
                </c:pt>
                <c:pt idx="1">
                  <c:v>25.836901673968772</c:v>
                </c:pt>
                <c:pt idx="2">
                  <c:v>38.596698838832175</c:v>
                </c:pt>
                <c:pt idx="3">
                  <c:v>42.629641580423595</c:v>
                </c:pt>
              </c:numCache>
            </c:numRef>
          </c:yVal>
          <c:smooth val="1"/>
          <c:extLst>
            <c:ext xmlns:c16="http://schemas.microsoft.com/office/drawing/2014/chart" uri="{C3380CC4-5D6E-409C-BE32-E72D297353CC}">
              <c16:uniqueId val="{00000001-B41B-42B1-B35B-AA1FEF8FAC14}"/>
            </c:ext>
          </c:extLst>
        </c:ser>
        <c:ser>
          <c:idx val="2"/>
          <c:order val="2"/>
          <c:spPr>
            <a:ln w="25400">
              <a:solidFill>
                <a:srgbClr val="FF0000"/>
              </a:solidFill>
              <a:prstDash val="solid"/>
            </a:ln>
          </c:spPr>
          <c:marker>
            <c:symbol val="none"/>
          </c:marker>
          <c:xVal>
            <c:numRef>
              <c:f>'Hunt(2003)'!$Q$4:$Q$28</c:f>
              <c:numCache>
                <c:formatCode>0.0</c:formatCode>
                <c:ptCount val="25"/>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150</c:v>
                </c:pt>
                <c:pt idx="20">
                  <c:v>200</c:v>
                </c:pt>
                <c:pt idx="21">
                  <c:v>250</c:v>
                </c:pt>
                <c:pt idx="22">
                  <c:v>300</c:v>
                </c:pt>
                <c:pt idx="23">
                  <c:v>350</c:v>
                </c:pt>
                <c:pt idx="24">
                  <c:v>400</c:v>
                </c:pt>
              </c:numCache>
            </c:numRef>
          </c:xVal>
          <c:yVal>
            <c:numRef>
              <c:f>'Hunt(2003)'!#REF!</c:f>
              <c:numCache>
                <c:formatCode>General</c:formatCode>
                <c:ptCount val="1"/>
                <c:pt idx="0">
                  <c:v>1</c:v>
                </c:pt>
              </c:numCache>
            </c:numRef>
          </c:yVal>
          <c:smooth val="0"/>
          <c:extLst>
            <c:ext xmlns:c16="http://schemas.microsoft.com/office/drawing/2014/chart" uri="{C3380CC4-5D6E-409C-BE32-E72D297353CC}">
              <c16:uniqueId val="{00000002-B41B-42B1-B35B-AA1FEF8FAC14}"/>
            </c:ext>
          </c:extLst>
        </c:ser>
        <c:dLbls>
          <c:showLegendKey val="0"/>
          <c:showVal val="0"/>
          <c:showCatName val="0"/>
          <c:showSerName val="0"/>
          <c:showPercent val="0"/>
          <c:showBubbleSize val="0"/>
        </c:dLbls>
        <c:axId val="587879407"/>
        <c:axId val="1"/>
      </c:scatterChart>
      <c:valAx>
        <c:axId val="587879407"/>
        <c:scaling>
          <c:orientation val="minMax"/>
          <c:max val="400"/>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Time (days)</a:t>
                </a:r>
              </a:p>
            </c:rich>
          </c:tx>
          <c:layout>
            <c:manualLayout>
              <c:xMode val="edge"/>
              <c:yMode val="edge"/>
              <c:x val="0.46264771949377886"/>
              <c:y val="0.87654493805558253"/>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1"/>
        <c:crossesAt val="0.01"/>
        <c:crossBetween val="midCat"/>
      </c:valAx>
      <c:valAx>
        <c:axId val="1"/>
        <c:scaling>
          <c:orientation val="minMax"/>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Stream depletion (L/s)</a:t>
                </a:r>
              </a:p>
            </c:rich>
          </c:tx>
          <c:layout>
            <c:manualLayout>
              <c:xMode val="edge"/>
              <c:yMode val="edge"/>
              <c:x val="1.9659239842726082E-2"/>
              <c:y val="0.24897162546039767"/>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587879407"/>
        <c:crossesAt val="0.0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606878946489327E-2"/>
          <c:y val="3.4979494155683667E-2"/>
          <c:w val="0.85059032152988912"/>
          <c:h val="0.78395219254796922"/>
        </c:manualLayout>
      </c:layout>
      <c:scatterChart>
        <c:scatterStyle val="smoothMarker"/>
        <c:varyColors val="0"/>
        <c:ser>
          <c:idx val="0"/>
          <c:order val="0"/>
          <c:tx>
            <c:strRef>
              <c:f>'Ward-Lough(2011)'!$R$2</c:f>
              <c:strCache>
                <c:ptCount val="1"/>
                <c:pt idx="0">
                  <c:v>Depletion Rate</c:v>
                </c:pt>
              </c:strCache>
            </c:strRef>
          </c:tx>
          <c:spPr>
            <a:ln w="12700">
              <a:solidFill>
                <a:srgbClr val="FF0000"/>
              </a:solidFill>
              <a:prstDash val="lgDash"/>
            </a:ln>
          </c:spPr>
          <c:marker>
            <c:symbol val="none"/>
          </c:marker>
          <c:xVal>
            <c:numRef>
              <c:f>'Ward-Lough(2011)'!$Q$4:$Q$28</c:f>
              <c:numCache>
                <c:formatCode>0.0</c:formatCode>
                <c:ptCount val="25"/>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150</c:v>
                </c:pt>
                <c:pt idx="20">
                  <c:v>200</c:v>
                </c:pt>
                <c:pt idx="21">
                  <c:v>250</c:v>
                </c:pt>
                <c:pt idx="22">
                  <c:v>300</c:v>
                </c:pt>
                <c:pt idx="23">
                  <c:v>350</c:v>
                </c:pt>
                <c:pt idx="24">
                  <c:v>400</c:v>
                </c:pt>
              </c:numCache>
            </c:numRef>
          </c:xVal>
          <c:yVal>
            <c:numRef>
              <c:f>'Ward-Lough(2011)'!$R$4:$R$28</c:f>
              <c:numCache>
                <c:formatCode>0.0</c:formatCode>
                <c:ptCount val="25"/>
                <c:pt idx="0">
                  <c:v>4.0802742636766995E-3</c:v>
                </c:pt>
                <c:pt idx="1">
                  <c:v>0.60395701142014302</c:v>
                </c:pt>
                <c:pt idx="2">
                  <c:v>2.0499176747041408</c:v>
                </c:pt>
                <c:pt idx="3">
                  <c:v>3.8278663485160491</c:v>
                </c:pt>
                <c:pt idx="4">
                  <c:v>5.6436954326470774</c:v>
                </c:pt>
                <c:pt idx="5">
                  <c:v>7.3777194478661574</c:v>
                </c:pt>
                <c:pt idx="6">
                  <c:v>8.989175597405282</c:v>
                </c:pt>
                <c:pt idx="7">
                  <c:v>10.470546782317182</c:v>
                </c:pt>
                <c:pt idx="8">
                  <c:v>11.827340595702742</c:v>
                </c:pt>
                <c:pt idx="9">
                  <c:v>13.06995603087141</c:v>
                </c:pt>
                <c:pt idx="10">
                  <c:v>21.351583282485436</c:v>
                </c:pt>
                <c:pt idx="11">
                  <c:v>25.836241806451987</c:v>
                </c:pt>
                <c:pt idx="12">
                  <c:v>28.724428222378094</c:v>
                </c:pt>
                <c:pt idx="13">
                  <c:v>30.778687210982696</c:v>
                </c:pt>
                <c:pt idx="14">
                  <c:v>32.334838869138466</c:v>
                </c:pt>
                <c:pt idx="15">
                  <c:v>33.566142964598633</c:v>
                </c:pt>
                <c:pt idx="16">
                  <c:v>34.570097084861651</c:v>
                </c:pt>
                <c:pt idx="17">
                  <c:v>35.412222361678069</c:v>
                </c:pt>
                <c:pt idx="18">
                  <c:v>36.129217469671509</c:v>
                </c:pt>
                <c:pt idx="19">
                  <c:v>38.596349704302909</c:v>
                </c:pt>
                <c:pt idx="20">
                  <c:v>40.089867039781794</c:v>
                </c:pt>
                <c:pt idx="21">
                  <c:v>41.11758001195161</c:v>
                </c:pt>
                <c:pt idx="22">
                  <c:v>41.880169977023399</c:v>
                </c:pt>
                <c:pt idx="23">
                  <c:v>42.478735381755357</c:v>
                </c:pt>
                <c:pt idx="24">
                  <c:v>42.951040539146533</c:v>
                </c:pt>
              </c:numCache>
            </c:numRef>
          </c:yVal>
          <c:smooth val="1"/>
          <c:extLst>
            <c:ext xmlns:c16="http://schemas.microsoft.com/office/drawing/2014/chart" uri="{C3380CC4-5D6E-409C-BE32-E72D297353CC}">
              <c16:uniqueId val="{00000000-B7AE-41B8-901D-7C93A2518CCD}"/>
            </c:ext>
          </c:extLst>
        </c:ser>
        <c:ser>
          <c:idx val="1"/>
          <c:order val="1"/>
          <c:spPr>
            <a:ln w="28575">
              <a:noFill/>
            </a:ln>
          </c:spPr>
          <c:marker>
            <c:symbol val="diamond"/>
            <c:size val="8"/>
            <c:spPr>
              <a:solidFill>
                <a:srgbClr val="00FFFF"/>
              </a:solidFill>
              <a:ln>
                <a:solidFill>
                  <a:srgbClr val="00FFFF"/>
                </a:solidFill>
                <a:prstDash val="solid"/>
              </a:ln>
            </c:spPr>
          </c:marker>
          <c:xVal>
            <c:numRef>
              <c:f>'Ward-Lough(2011)'!$A$29:$A$32</c:f>
              <c:numCache>
                <c:formatCode>General</c:formatCode>
                <c:ptCount val="4"/>
                <c:pt idx="0">
                  <c:v>7</c:v>
                </c:pt>
                <c:pt idx="1">
                  <c:v>30</c:v>
                </c:pt>
                <c:pt idx="2">
                  <c:v>150</c:v>
                </c:pt>
                <c:pt idx="3">
                  <c:v>365</c:v>
                </c:pt>
              </c:numCache>
            </c:numRef>
          </c:xVal>
          <c:yVal>
            <c:numRef>
              <c:f>'Ward-Lough(2011)'!$B$29:$B$32</c:f>
              <c:numCache>
                <c:formatCode>0</c:formatCode>
                <c:ptCount val="4"/>
                <c:pt idx="0">
                  <c:v>8.989175597405282</c:v>
                </c:pt>
                <c:pt idx="1">
                  <c:v>25.836241806451987</c:v>
                </c:pt>
                <c:pt idx="2">
                  <c:v>38.596349704302909</c:v>
                </c:pt>
                <c:pt idx="3">
                  <c:v>42.631206369595098</c:v>
                </c:pt>
              </c:numCache>
            </c:numRef>
          </c:yVal>
          <c:smooth val="1"/>
          <c:extLst>
            <c:ext xmlns:c16="http://schemas.microsoft.com/office/drawing/2014/chart" uri="{C3380CC4-5D6E-409C-BE32-E72D297353CC}">
              <c16:uniqueId val="{00000001-B7AE-41B8-901D-7C93A2518CCD}"/>
            </c:ext>
          </c:extLst>
        </c:ser>
        <c:ser>
          <c:idx val="2"/>
          <c:order val="2"/>
          <c:spPr>
            <a:ln w="25400">
              <a:solidFill>
                <a:srgbClr val="FF0000"/>
              </a:solidFill>
              <a:prstDash val="solid"/>
            </a:ln>
          </c:spPr>
          <c:marker>
            <c:symbol val="none"/>
          </c:marker>
          <c:xVal>
            <c:numRef>
              <c:f>'Ward-Lough(2011)'!$Q$4:$Q$28</c:f>
              <c:numCache>
                <c:formatCode>0.0</c:formatCode>
                <c:ptCount val="25"/>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150</c:v>
                </c:pt>
                <c:pt idx="20">
                  <c:v>200</c:v>
                </c:pt>
                <c:pt idx="21">
                  <c:v>250</c:v>
                </c:pt>
                <c:pt idx="22">
                  <c:v>300</c:v>
                </c:pt>
                <c:pt idx="23">
                  <c:v>350</c:v>
                </c:pt>
                <c:pt idx="24">
                  <c:v>400</c:v>
                </c:pt>
              </c:numCache>
            </c:numRef>
          </c:xVal>
          <c:yVal>
            <c:numRef>
              <c:f>'Ward-Lough(2011)'!#REF!</c:f>
              <c:numCache>
                <c:formatCode>General</c:formatCode>
                <c:ptCount val="1"/>
                <c:pt idx="0">
                  <c:v>1</c:v>
                </c:pt>
              </c:numCache>
            </c:numRef>
          </c:yVal>
          <c:smooth val="0"/>
          <c:extLst>
            <c:ext xmlns:c16="http://schemas.microsoft.com/office/drawing/2014/chart" uri="{C3380CC4-5D6E-409C-BE32-E72D297353CC}">
              <c16:uniqueId val="{00000002-B7AE-41B8-901D-7C93A2518CCD}"/>
            </c:ext>
          </c:extLst>
        </c:ser>
        <c:dLbls>
          <c:showLegendKey val="0"/>
          <c:showVal val="0"/>
          <c:showCatName val="0"/>
          <c:showSerName val="0"/>
          <c:showPercent val="0"/>
          <c:showBubbleSize val="0"/>
        </c:dLbls>
        <c:axId val="587879407"/>
        <c:axId val="1"/>
      </c:scatterChart>
      <c:valAx>
        <c:axId val="587879407"/>
        <c:scaling>
          <c:orientation val="minMax"/>
          <c:max val="400"/>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Time (days)</a:t>
                </a:r>
              </a:p>
            </c:rich>
          </c:tx>
          <c:layout>
            <c:manualLayout>
              <c:xMode val="edge"/>
              <c:yMode val="edge"/>
              <c:x val="0.46264771949377886"/>
              <c:y val="0.87654493805558253"/>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1"/>
        <c:crossesAt val="0.01"/>
        <c:crossBetween val="midCat"/>
      </c:valAx>
      <c:valAx>
        <c:axId val="1"/>
        <c:scaling>
          <c:orientation val="minMax"/>
          <c:min val="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NZ"/>
                  <a:t>Stream depletion (L/s)</a:t>
                </a:r>
              </a:p>
            </c:rich>
          </c:tx>
          <c:layout>
            <c:manualLayout>
              <c:xMode val="edge"/>
              <c:yMode val="edge"/>
              <c:x val="1.9659239842726082E-2"/>
              <c:y val="0.24897162546039767"/>
            </c:manualLayout>
          </c:layout>
          <c:overlay val="0"/>
          <c:spPr>
            <a:solidFill>
              <a:srgbClr val="FFFFFF"/>
            </a:solidFill>
            <a:ln w="25400">
              <a:noFill/>
            </a:ln>
          </c:spPr>
        </c:title>
        <c:numFmt formatCode="General" sourceLinked="0"/>
        <c:majorTickMark val="out"/>
        <c:minorTickMark val="none"/>
        <c:tickLblPos val="nextTo"/>
        <c:spPr>
          <a:ln w="25400">
            <a:solidFill>
              <a:srgbClr val="424242"/>
            </a:solidFill>
            <a:prstDash val="solid"/>
          </a:ln>
        </c:spPr>
        <c:txPr>
          <a:bodyPr rot="0" vert="horz"/>
          <a:lstStyle/>
          <a:p>
            <a:pPr>
              <a:defRPr sz="1050" b="1" i="0" u="none" strike="noStrike" baseline="0">
                <a:solidFill>
                  <a:srgbClr val="000000"/>
                </a:solidFill>
                <a:latin typeface="Arial"/>
                <a:ea typeface="Arial"/>
                <a:cs typeface="Arial"/>
              </a:defRPr>
            </a:pPr>
            <a:endParaRPr lang="en-US"/>
          </a:p>
        </c:txPr>
        <c:crossAx val="587879407"/>
        <c:crossesAt val="0.0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3</xdr:col>
      <xdr:colOff>123825</xdr:colOff>
      <xdr:row>1</xdr:row>
      <xdr:rowOff>19050</xdr:rowOff>
    </xdr:from>
    <xdr:to>
      <xdr:col>14</xdr:col>
      <xdr:colOff>666750</xdr:colOff>
      <xdr:row>28</xdr:row>
      <xdr:rowOff>0</xdr:rowOff>
    </xdr:to>
    <xdr:graphicFrame macro="">
      <xdr:nvGraphicFramePr>
        <xdr:cNvPr id="26646" name="Chart 1">
          <a:extLst>
            <a:ext uri="{FF2B5EF4-FFF2-40B4-BE49-F238E27FC236}">
              <a16:creationId xmlns:a16="http://schemas.microsoft.com/office/drawing/2014/main" id="{73575AF4-1144-401D-ABCA-3093F35CE2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32</xdr:row>
      <xdr:rowOff>104775</xdr:rowOff>
    </xdr:from>
    <xdr:to>
      <xdr:col>2</xdr:col>
      <xdr:colOff>390525</xdr:colOff>
      <xdr:row>36</xdr:row>
      <xdr:rowOff>0</xdr:rowOff>
    </xdr:to>
    <xdr:sp macro="" textlink="">
      <xdr:nvSpPr>
        <xdr:cNvPr id="26632" name="Text Box 8">
          <a:extLst>
            <a:ext uri="{FF2B5EF4-FFF2-40B4-BE49-F238E27FC236}">
              <a16:creationId xmlns:a16="http://schemas.microsoft.com/office/drawing/2014/main" id="{A3DB44A6-B528-4629-BC3A-4D9B4604D9BD}"/>
            </a:ext>
          </a:extLst>
        </xdr:cNvPr>
        <xdr:cNvSpPr txBox="1">
          <a:spLocks noChangeArrowheads="1"/>
        </xdr:cNvSpPr>
      </xdr:nvSpPr>
      <xdr:spPr bwMode="auto">
        <a:xfrm>
          <a:off x="38100" y="5619750"/>
          <a:ext cx="2847975" cy="581025"/>
        </a:xfrm>
        <a:prstGeom prst="rect">
          <a:avLst/>
        </a:prstGeom>
        <a:solidFill>
          <a:srgbClr xmlns:mc="http://schemas.openxmlformats.org/markup-compatibility/2006" xmlns:a14="http://schemas.microsoft.com/office/drawing/2010/main" val="A0E0E0"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NZ" sz="1000" b="0" i="1" u="none" strike="noStrike" baseline="0">
              <a:solidFill>
                <a:srgbClr val="000000"/>
              </a:solidFill>
              <a:latin typeface="Arial"/>
              <a:cs typeface="Arial"/>
            </a:rPr>
            <a:t>Only the values in shaded cells can be updated - all other cells are dependent on those input values.</a:t>
          </a:r>
        </a:p>
        <a:p>
          <a:pPr algn="l" rtl="0">
            <a:lnSpc>
              <a:spcPts val="1000"/>
            </a:lnSpc>
            <a:defRPr sz="1000"/>
          </a:pPr>
          <a:endParaRPr lang="en-NZ" sz="1000" b="0" i="1" u="none" strike="noStrike" baseline="0">
            <a:solidFill>
              <a:srgbClr val="000000"/>
            </a:solidFill>
            <a:latin typeface="Arial"/>
            <a:cs typeface="Arial"/>
          </a:endParaRPr>
        </a:p>
      </xdr:txBody>
    </xdr:sp>
    <xdr:clientData/>
  </xdr:twoCellAnchor>
  <xdr:twoCellAnchor editAs="oneCell">
    <xdr:from>
      <xdr:col>5</xdr:col>
      <xdr:colOff>200025</xdr:colOff>
      <xdr:row>28</xdr:row>
      <xdr:rowOff>66675</xdr:rowOff>
    </xdr:from>
    <xdr:to>
      <xdr:col>12</xdr:col>
      <xdr:colOff>514350</xdr:colOff>
      <xdr:row>42</xdr:row>
      <xdr:rowOff>9525</xdr:rowOff>
    </xdr:to>
    <xdr:pic>
      <xdr:nvPicPr>
        <xdr:cNvPr id="26648" name="Picture 18">
          <a:extLst>
            <a:ext uri="{FF2B5EF4-FFF2-40B4-BE49-F238E27FC236}">
              <a16:creationId xmlns:a16="http://schemas.microsoft.com/office/drawing/2014/main" id="{E0204C96-718A-402E-9C40-ED34518B163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62450" y="4895850"/>
          <a:ext cx="450532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142875</xdr:colOff>
      <xdr:row>1</xdr:row>
      <xdr:rowOff>9525</xdr:rowOff>
    </xdr:from>
    <xdr:to>
      <xdr:col>14</xdr:col>
      <xdr:colOff>666750</xdr:colOff>
      <xdr:row>28</xdr:row>
      <xdr:rowOff>28575</xdr:rowOff>
    </xdr:to>
    <xdr:graphicFrame macro="">
      <xdr:nvGraphicFramePr>
        <xdr:cNvPr id="25634" name="Chart 1">
          <a:extLst>
            <a:ext uri="{FF2B5EF4-FFF2-40B4-BE49-F238E27FC236}">
              <a16:creationId xmlns:a16="http://schemas.microsoft.com/office/drawing/2014/main" id="{4CF738B3-C161-449B-B3E3-BD001E0155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32</xdr:row>
      <xdr:rowOff>76200</xdr:rowOff>
    </xdr:from>
    <xdr:to>
      <xdr:col>2</xdr:col>
      <xdr:colOff>390525</xdr:colOff>
      <xdr:row>35</xdr:row>
      <xdr:rowOff>133350</xdr:rowOff>
    </xdr:to>
    <xdr:sp macro="" textlink="">
      <xdr:nvSpPr>
        <xdr:cNvPr id="25610" name="Text Box 10">
          <a:extLst>
            <a:ext uri="{FF2B5EF4-FFF2-40B4-BE49-F238E27FC236}">
              <a16:creationId xmlns:a16="http://schemas.microsoft.com/office/drawing/2014/main" id="{57FDAF6A-427D-411E-9389-FC65C0F1C3EF}"/>
            </a:ext>
          </a:extLst>
        </xdr:cNvPr>
        <xdr:cNvSpPr txBox="1">
          <a:spLocks noChangeArrowheads="1"/>
        </xdr:cNvSpPr>
      </xdr:nvSpPr>
      <xdr:spPr bwMode="auto">
        <a:xfrm>
          <a:off x="38100" y="5591175"/>
          <a:ext cx="2847975" cy="571500"/>
        </a:xfrm>
        <a:prstGeom prst="rect">
          <a:avLst/>
        </a:prstGeom>
        <a:solidFill>
          <a:srgbClr xmlns:mc="http://schemas.openxmlformats.org/markup-compatibility/2006" xmlns:a14="http://schemas.microsoft.com/office/drawing/2010/main" val="A0E0E0"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NZ" sz="1000" b="0" i="1" u="none" strike="noStrike" baseline="0">
              <a:solidFill>
                <a:srgbClr val="000000"/>
              </a:solidFill>
              <a:latin typeface="Arial"/>
              <a:cs typeface="Arial"/>
            </a:rPr>
            <a:t>Only the values in shaded cells can be updated - all other cells are dependent on those input values.</a:t>
          </a:r>
        </a:p>
        <a:p>
          <a:pPr algn="l" rtl="0">
            <a:lnSpc>
              <a:spcPts val="1000"/>
            </a:lnSpc>
            <a:defRPr sz="1000"/>
          </a:pPr>
          <a:endParaRPr lang="en-NZ" sz="1000" b="0" i="1" u="none" strike="noStrike" baseline="0">
            <a:solidFill>
              <a:srgbClr val="000000"/>
            </a:solidFill>
            <a:latin typeface="Arial"/>
            <a:cs typeface="Arial"/>
          </a:endParaRPr>
        </a:p>
      </xdr:txBody>
    </xdr:sp>
    <xdr:clientData/>
  </xdr:twoCellAnchor>
  <xdr:twoCellAnchor editAs="oneCell">
    <xdr:from>
      <xdr:col>10</xdr:col>
      <xdr:colOff>561975</xdr:colOff>
      <xdr:row>29</xdr:row>
      <xdr:rowOff>9525</xdr:rowOff>
    </xdr:from>
    <xdr:to>
      <xdr:col>18</xdr:col>
      <xdr:colOff>19050</xdr:colOff>
      <xdr:row>43</xdr:row>
      <xdr:rowOff>123825</xdr:rowOff>
    </xdr:to>
    <xdr:pic>
      <xdr:nvPicPr>
        <xdr:cNvPr id="25636" name="Picture 28">
          <a:extLst>
            <a:ext uri="{FF2B5EF4-FFF2-40B4-BE49-F238E27FC236}">
              <a16:creationId xmlns:a16="http://schemas.microsoft.com/office/drawing/2014/main" id="{AA6EF27C-F4C7-4B3A-B60C-3EE03543C5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62850" y="5010150"/>
          <a:ext cx="4972050" cy="2514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30</xdr:row>
      <xdr:rowOff>76200</xdr:rowOff>
    </xdr:from>
    <xdr:to>
      <xdr:col>10</xdr:col>
      <xdr:colOff>409575</xdr:colOff>
      <xdr:row>42</xdr:row>
      <xdr:rowOff>161925</xdr:rowOff>
    </xdr:to>
    <xdr:pic>
      <xdr:nvPicPr>
        <xdr:cNvPr id="25637" name="Picture 29">
          <a:extLst>
            <a:ext uri="{FF2B5EF4-FFF2-40B4-BE49-F238E27FC236}">
              <a16:creationId xmlns:a16="http://schemas.microsoft.com/office/drawing/2014/main" id="{3B5A2FD6-4A29-4452-B481-1AB1EC32CE1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5650" y="5248275"/>
          <a:ext cx="4114800" cy="2143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142875</xdr:colOff>
      <xdr:row>1</xdr:row>
      <xdr:rowOff>19050</xdr:rowOff>
    </xdr:from>
    <xdr:to>
      <xdr:col>14</xdr:col>
      <xdr:colOff>647700</xdr:colOff>
      <xdr:row>28</xdr:row>
      <xdr:rowOff>19050</xdr:rowOff>
    </xdr:to>
    <xdr:graphicFrame macro="">
      <xdr:nvGraphicFramePr>
        <xdr:cNvPr id="20502" name="Chart 1">
          <a:extLst>
            <a:ext uri="{FF2B5EF4-FFF2-40B4-BE49-F238E27FC236}">
              <a16:creationId xmlns:a16="http://schemas.microsoft.com/office/drawing/2014/main" id="{16274915-1121-4C34-B6D7-1BA9DE0A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32</xdr:row>
      <xdr:rowOff>85725</xdr:rowOff>
    </xdr:from>
    <xdr:to>
      <xdr:col>2</xdr:col>
      <xdr:colOff>400050</xdr:colOff>
      <xdr:row>35</xdr:row>
      <xdr:rowOff>142875</xdr:rowOff>
    </xdr:to>
    <xdr:sp macro="" textlink="">
      <xdr:nvSpPr>
        <xdr:cNvPr id="20485" name="Text Box 5">
          <a:extLst>
            <a:ext uri="{FF2B5EF4-FFF2-40B4-BE49-F238E27FC236}">
              <a16:creationId xmlns:a16="http://schemas.microsoft.com/office/drawing/2014/main" id="{A1530697-C6F7-4E2E-AEDD-C73D75784BAF}"/>
            </a:ext>
          </a:extLst>
        </xdr:cNvPr>
        <xdr:cNvSpPr txBox="1">
          <a:spLocks noChangeArrowheads="1"/>
        </xdr:cNvSpPr>
      </xdr:nvSpPr>
      <xdr:spPr bwMode="auto">
        <a:xfrm>
          <a:off x="47625" y="5600700"/>
          <a:ext cx="2847975" cy="571500"/>
        </a:xfrm>
        <a:prstGeom prst="rect">
          <a:avLst/>
        </a:prstGeom>
        <a:solidFill>
          <a:srgbClr xmlns:mc="http://schemas.openxmlformats.org/markup-compatibility/2006" xmlns:a14="http://schemas.microsoft.com/office/drawing/2010/main" val="A0E0E0"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NZ" sz="1000" b="0" i="1" u="none" strike="noStrike" baseline="0">
              <a:solidFill>
                <a:srgbClr val="000000"/>
              </a:solidFill>
              <a:latin typeface="Arial"/>
              <a:cs typeface="Arial"/>
            </a:rPr>
            <a:t>Only the values in shaded cells can be updated - all other cells are dependent on those input values.</a:t>
          </a:r>
        </a:p>
        <a:p>
          <a:pPr algn="l" rtl="0">
            <a:lnSpc>
              <a:spcPts val="1000"/>
            </a:lnSpc>
            <a:defRPr sz="1000"/>
          </a:pPr>
          <a:endParaRPr lang="en-NZ" sz="1000" b="0" i="1" u="none" strike="noStrike" baseline="0">
            <a:solidFill>
              <a:srgbClr val="000000"/>
            </a:solidFill>
            <a:latin typeface="Arial"/>
            <a:cs typeface="Arial"/>
          </a:endParaRPr>
        </a:p>
      </xdr:txBody>
    </xdr:sp>
    <xdr:clientData/>
  </xdr:twoCellAnchor>
  <xdr:twoCellAnchor editAs="oneCell">
    <xdr:from>
      <xdr:col>4</xdr:col>
      <xdr:colOff>571500</xdr:colOff>
      <xdr:row>28</xdr:row>
      <xdr:rowOff>76200</xdr:rowOff>
    </xdr:from>
    <xdr:to>
      <xdr:col>13</xdr:col>
      <xdr:colOff>152400</xdr:colOff>
      <xdr:row>43</xdr:row>
      <xdr:rowOff>57150</xdr:rowOff>
    </xdr:to>
    <xdr:pic>
      <xdr:nvPicPr>
        <xdr:cNvPr id="20504" name="Picture 18">
          <a:extLst>
            <a:ext uri="{FF2B5EF4-FFF2-40B4-BE49-F238E27FC236}">
              <a16:creationId xmlns:a16="http://schemas.microsoft.com/office/drawing/2014/main" id="{83EB3EB5-4CE7-484C-B603-40D7B809D85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24325" y="4905375"/>
          <a:ext cx="5057775"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142875</xdr:colOff>
      <xdr:row>1</xdr:row>
      <xdr:rowOff>19050</xdr:rowOff>
    </xdr:from>
    <xdr:to>
      <xdr:col>14</xdr:col>
      <xdr:colOff>647700</xdr:colOff>
      <xdr:row>28</xdr:row>
      <xdr:rowOff>19050</xdr:rowOff>
    </xdr:to>
    <xdr:graphicFrame macro="">
      <xdr:nvGraphicFramePr>
        <xdr:cNvPr id="2" name="Chart 1">
          <a:extLst>
            <a:ext uri="{FF2B5EF4-FFF2-40B4-BE49-F238E27FC236}">
              <a16:creationId xmlns:a16="http://schemas.microsoft.com/office/drawing/2014/main" id="{809B3952-8ABC-4A04-A8D8-F054B1F0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32</xdr:row>
      <xdr:rowOff>85725</xdr:rowOff>
    </xdr:from>
    <xdr:to>
      <xdr:col>2</xdr:col>
      <xdr:colOff>400050</xdr:colOff>
      <xdr:row>35</xdr:row>
      <xdr:rowOff>142875</xdr:rowOff>
    </xdr:to>
    <xdr:sp macro="" textlink="">
      <xdr:nvSpPr>
        <xdr:cNvPr id="3" name="Text Box 5">
          <a:extLst>
            <a:ext uri="{FF2B5EF4-FFF2-40B4-BE49-F238E27FC236}">
              <a16:creationId xmlns:a16="http://schemas.microsoft.com/office/drawing/2014/main" id="{4DFED789-5DB2-4DFF-8F80-E76127C35707}"/>
            </a:ext>
          </a:extLst>
        </xdr:cNvPr>
        <xdr:cNvSpPr txBox="1">
          <a:spLocks noChangeArrowheads="1"/>
        </xdr:cNvSpPr>
      </xdr:nvSpPr>
      <xdr:spPr bwMode="auto">
        <a:xfrm>
          <a:off x="47625" y="5600700"/>
          <a:ext cx="2847975" cy="571500"/>
        </a:xfrm>
        <a:prstGeom prst="rect">
          <a:avLst/>
        </a:prstGeom>
        <a:solidFill>
          <a:srgbClr xmlns:mc="http://schemas.openxmlformats.org/markup-compatibility/2006" xmlns:a14="http://schemas.microsoft.com/office/drawing/2010/main" val="A0E0E0" mc:Ignorable="a14" a14:legacySpreadsheetColorIndex="2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NZ" sz="1000" b="0" i="1" u="none" strike="noStrike" baseline="0">
              <a:solidFill>
                <a:srgbClr val="000000"/>
              </a:solidFill>
              <a:latin typeface="Arial"/>
              <a:cs typeface="Arial"/>
            </a:rPr>
            <a:t>Only the values in shaded cells can be updated - all other cells are dependent on those input values.</a:t>
          </a:r>
        </a:p>
        <a:p>
          <a:pPr algn="l" rtl="0">
            <a:lnSpc>
              <a:spcPts val="1000"/>
            </a:lnSpc>
            <a:defRPr sz="1000"/>
          </a:pPr>
          <a:endParaRPr lang="en-NZ" sz="1000" b="0" i="1" u="none" strike="noStrike" baseline="0">
            <a:solidFill>
              <a:srgbClr val="000000"/>
            </a:solidFill>
            <a:latin typeface="Arial"/>
            <a:cs typeface="Arial"/>
          </a:endParaRPr>
        </a:p>
      </xdr:txBody>
    </xdr:sp>
    <xdr:clientData/>
  </xdr:twoCellAnchor>
  <xdr:twoCellAnchor editAs="oneCell">
    <xdr:from>
      <xdr:col>4</xdr:col>
      <xdr:colOff>352425</xdr:colOff>
      <xdr:row>28</xdr:row>
      <xdr:rowOff>85726</xdr:rowOff>
    </xdr:from>
    <xdr:to>
      <xdr:col>12</xdr:col>
      <xdr:colOff>638175</xdr:colOff>
      <xdr:row>46</xdr:row>
      <xdr:rowOff>43479</xdr:rowOff>
    </xdr:to>
    <xdr:pic>
      <xdr:nvPicPr>
        <xdr:cNvPr id="7" name="Picture 6">
          <a:extLst>
            <a:ext uri="{FF2B5EF4-FFF2-40B4-BE49-F238E27FC236}">
              <a16:creationId xmlns:a16="http://schemas.microsoft.com/office/drawing/2014/main" id="{32DB85E5-5391-4F1F-8073-4AFED6BD100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0" y="4914901"/>
          <a:ext cx="5086350" cy="30438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285750</xdr:colOff>
      <xdr:row>1</xdr:row>
      <xdr:rowOff>123825</xdr:rowOff>
    </xdr:from>
    <xdr:to>
      <xdr:col>7</xdr:col>
      <xdr:colOff>438150</xdr:colOff>
      <xdr:row>20</xdr:row>
      <xdr:rowOff>104775</xdr:rowOff>
    </xdr:to>
    <xdr:sp macro="" textlink="">
      <xdr:nvSpPr>
        <xdr:cNvPr id="27649" name="Text Box 1">
          <a:extLst>
            <a:ext uri="{FF2B5EF4-FFF2-40B4-BE49-F238E27FC236}">
              <a16:creationId xmlns:a16="http://schemas.microsoft.com/office/drawing/2014/main" id="{8E5374D6-849D-4A04-9586-8F2B94E27391}"/>
            </a:ext>
          </a:extLst>
        </xdr:cNvPr>
        <xdr:cNvSpPr txBox="1">
          <a:spLocks noChangeArrowheads="1"/>
        </xdr:cNvSpPr>
      </xdr:nvSpPr>
      <xdr:spPr bwMode="auto">
        <a:xfrm>
          <a:off x="1200150" y="285750"/>
          <a:ext cx="5638800" cy="30575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NZ" sz="1000" b="1" i="0" u="none" strike="noStrike" baseline="0">
              <a:solidFill>
                <a:srgbClr val="000000"/>
              </a:solidFill>
              <a:latin typeface="Arial"/>
              <a:cs typeface="Arial"/>
            </a:rPr>
            <a:t>Environment Canterbury Disclaimer</a:t>
          </a:r>
          <a:endParaRPr lang="en-NZ" sz="1000" b="0" i="0" u="none" strike="noStrike" baseline="0">
            <a:solidFill>
              <a:srgbClr val="000000"/>
            </a:solidFill>
            <a:latin typeface="Arial"/>
            <a:cs typeface="Arial"/>
          </a:endParaRPr>
        </a:p>
        <a:p>
          <a:pPr algn="l" rtl="0">
            <a:defRPr sz="1000"/>
          </a:pPr>
          <a:endParaRPr lang="en-NZ" sz="1000" b="0" i="0" u="none" strike="noStrike" baseline="0">
            <a:solidFill>
              <a:srgbClr val="000000"/>
            </a:solidFill>
            <a:latin typeface="Arial"/>
            <a:cs typeface="Arial"/>
          </a:endParaRPr>
        </a:p>
        <a:p>
          <a:pPr algn="l" rtl="0">
            <a:defRPr sz="1000"/>
          </a:pPr>
          <a:r>
            <a:rPr lang="en-NZ" sz="1000" b="0" i="0" u="none" strike="noStrike" baseline="0">
              <a:solidFill>
                <a:srgbClr val="000000"/>
              </a:solidFill>
              <a:latin typeface="Arial"/>
              <a:cs typeface="Arial"/>
            </a:rPr>
            <a:t>This spreadsheet is supplied on an as-is basis. Environment Canterbury offers no warranty, expressed or implied, as to its accuracy or completeness and are not obligated to provide the user with any support, consulting, training or assistance of any kind with regard to its use, operation, and </a:t>
          </a:r>
        </a:p>
        <a:p>
          <a:pPr algn="l" rtl="0">
            <a:defRPr sz="1000"/>
          </a:pPr>
          <a:r>
            <a:rPr lang="en-NZ" sz="1000" b="0" i="0" u="none" strike="noStrike" baseline="0">
              <a:solidFill>
                <a:srgbClr val="000000"/>
              </a:solidFill>
              <a:latin typeface="Arial"/>
              <a:cs typeface="Arial"/>
            </a:rPr>
            <a:t>performance nor to provide the user with any updates, revisions, new versions or "bug fixes".</a:t>
          </a:r>
        </a:p>
        <a:p>
          <a:pPr algn="l" rtl="0">
            <a:defRPr sz="1000"/>
          </a:pPr>
          <a:endParaRPr lang="en-NZ" sz="1000" b="0" i="0" u="none" strike="noStrike" baseline="0">
            <a:solidFill>
              <a:srgbClr val="000000"/>
            </a:solidFill>
            <a:latin typeface="Arial"/>
            <a:cs typeface="Arial"/>
          </a:endParaRPr>
        </a:p>
        <a:p>
          <a:pPr algn="l" rtl="0">
            <a:defRPr sz="1000"/>
          </a:pPr>
          <a:r>
            <a:rPr lang="en-NZ" sz="1000" b="0" i="0" u="none" strike="noStrike" baseline="0">
              <a:solidFill>
                <a:srgbClr val="000000"/>
              </a:solidFill>
              <a:latin typeface="Arial"/>
              <a:cs typeface="Arial"/>
            </a:rPr>
            <a:t>The user assumes all risk for any damages whatsoever resulting from loss of use, data, or profits </a:t>
          </a:r>
        </a:p>
        <a:p>
          <a:pPr algn="l" rtl="0">
            <a:defRPr sz="1000"/>
          </a:pPr>
          <a:r>
            <a:rPr lang="en-NZ" sz="1000" b="0" i="0" u="none" strike="noStrike" baseline="0">
              <a:solidFill>
                <a:srgbClr val="000000"/>
              </a:solidFill>
              <a:latin typeface="Arial"/>
              <a:cs typeface="Arial"/>
            </a:rPr>
            <a:t>arising in connection with the access, use, quality, or performance of this software.</a:t>
          </a:r>
        </a:p>
        <a:p>
          <a:pPr algn="l" rtl="0">
            <a:defRPr sz="1000"/>
          </a:pPr>
          <a:endParaRPr lang="en-NZ" sz="1000" b="0" i="0" u="none" strike="noStrike" baseline="0">
            <a:solidFill>
              <a:srgbClr val="000000"/>
            </a:solidFill>
            <a:latin typeface="Arial"/>
            <a:cs typeface="Arial"/>
          </a:endParaRPr>
        </a:p>
      </xdr:txBody>
    </xdr:sp>
    <xdr:clientData/>
  </xdr:twoCellAnchor>
  <xdr:twoCellAnchor>
    <xdr:from>
      <xdr:col>1</xdr:col>
      <xdr:colOff>295275</xdr:colOff>
      <xdr:row>22</xdr:row>
      <xdr:rowOff>85725</xdr:rowOff>
    </xdr:from>
    <xdr:to>
      <xdr:col>7</xdr:col>
      <xdr:colOff>438150</xdr:colOff>
      <xdr:row>27</xdr:row>
      <xdr:rowOff>57150</xdr:rowOff>
    </xdr:to>
    <xdr:sp macro="" textlink="">
      <xdr:nvSpPr>
        <xdr:cNvPr id="27651" name="Text Box 3">
          <a:extLst>
            <a:ext uri="{FF2B5EF4-FFF2-40B4-BE49-F238E27FC236}">
              <a16:creationId xmlns:a16="http://schemas.microsoft.com/office/drawing/2014/main" id="{BC2D9FD2-5045-44D2-A8AB-7199DE847DAB}"/>
            </a:ext>
          </a:extLst>
        </xdr:cNvPr>
        <xdr:cNvSpPr txBox="1">
          <a:spLocks noChangeArrowheads="1"/>
        </xdr:cNvSpPr>
      </xdr:nvSpPr>
      <xdr:spPr bwMode="auto">
        <a:xfrm>
          <a:off x="1209675" y="3648075"/>
          <a:ext cx="5629275" cy="7810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NZ" sz="1000" b="1" i="0" u="none" strike="noStrike" baseline="0">
              <a:solidFill>
                <a:srgbClr val="000000"/>
              </a:solidFill>
              <a:latin typeface="Arial"/>
              <a:cs typeface="Arial"/>
            </a:rPr>
            <a:t>Acknowledgement</a:t>
          </a:r>
          <a:endParaRPr lang="en-NZ" sz="1000" b="0" i="0" u="none" strike="noStrike" baseline="0">
            <a:solidFill>
              <a:srgbClr val="000000"/>
            </a:solidFill>
            <a:latin typeface="Arial"/>
            <a:cs typeface="Arial"/>
          </a:endParaRPr>
        </a:p>
        <a:p>
          <a:pPr algn="l" rtl="0">
            <a:defRPr sz="1000"/>
          </a:pPr>
          <a:endParaRPr lang="en-NZ" sz="1000" b="0" i="0" u="none" strike="noStrike" baseline="0">
            <a:solidFill>
              <a:srgbClr val="000000"/>
            </a:solidFill>
            <a:latin typeface="Arial"/>
            <a:cs typeface="Arial"/>
          </a:endParaRPr>
        </a:p>
        <a:p>
          <a:pPr algn="l" rtl="0">
            <a:defRPr sz="1000"/>
          </a:pPr>
          <a:r>
            <a:rPr lang="en-NZ" sz="1000" b="0" i="0" u="none" strike="noStrike" baseline="0">
              <a:solidFill>
                <a:srgbClr val="000000"/>
              </a:solidFill>
              <a:latin typeface="Arial"/>
              <a:cs typeface="Arial"/>
            </a:rPr>
            <a:t>This workbook uses Visual Basic functions supplied by Dr Bruce Hunt</a:t>
          </a:r>
        </a:p>
        <a:p>
          <a:pPr algn="l" rtl="0">
            <a:defRPr sz="1000"/>
          </a:pPr>
          <a:r>
            <a:rPr lang="en-NZ" sz="1000" b="0" i="0" u="none" strike="noStrike" baseline="0">
              <a:solidFill>
                <a:srgbClr val="000000"/>
              </a:solidFill>
              <a:latin typeface="Arial"/>
              <a:cs typeface="Arial"/>
            </a:rPr>
            <a:t>Copyright © Dr Bruce Hunt 2003 </a:t>
          </a:r>
        </a:p>
        <a:p>
          <a:pPr algn="l" rtl="0">
            <a:defRPr sz="1000"/>
          </a:pPr>
          <a:endParaRPr lang="en-NZ" sz="1000" b="0" i="0" u="none" strike="noStrike" baseline="0">
            <a:solidFill>
              <a:srgbClr val="000000"/>
            </a:solidFill>
            <a:latin typeface="Arial"/>
            <a:cs typeface="Arial"/>
          </a:endParaRPr>
        </a:p>
      </xdr:txBody>
    </xdr:sp>
    <xdr:clientData/>
  </xdr:twoCellAnchor>
  <xdr:twoCellAnchor editAs="oneCell">
    <xdr:from>
      <xdr:col>2</xdr:col>
      <xdr:colOff>523875</xdr:colOff>
      <xdr:row>12</xdr:row>
      <xdr:rowOff>0</xdr:rowOff>
    </xdr:from>
    <xdr:to>
      <xdr:col>6</xdr:col>
      <xdr:colOff>238125</xdr:colOff>
      <xdr:row>20</xdr:row>
      <xdr:rowOff>76200</xdr:rowOff>
    </xdr:to>
    <xdr:pic>
      <xdr:nvPicPr>
        <xdr:cNvPr id="27658" name="Picture 4">
          <a:extLst>
            <a:ext uri="{FF2B5EF4-FFF2-40B4-BE49-F238E27FC236}">
              <a16:creationId xmlns:a16="http://schemas.microsoft.com/office/drawing/2014/main" id="{083ED385-EEA4-493C-ABEA-4AC65EF07E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52675" y="1943100"/>
          <a:ext cx="3371850" cy="137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15875" cap="flat" cmpd="sng" algn="ctr">
          <a:solidFill>
            <a:srgbClr xmlns:mc="http://schemas.openxmlformats.org/markup-compatibility/2006" xmlns:a14="http://schemas.microsoft.com/office/drawing/2010/main" val="080000" mc:Ignorable="a14" a14:legacySpreadsheetColorIndex="8"/>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15875" cap="flat" cmpd="sng" algn="ctr">
          <a:solidFill>
            <a:srgbClr xmlns:mc="http://schemas.openxmlformats.org/markup-compatibility/2006" xmlns:a14="http://schemas.microsoft.com/office/drawing/2010/main" val="080000" mc:Ignorable="a14" a14:legacySpreadsheetColorIndex="8"/>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pageSetUpPr fitToPage="1"/>
  </sheetPr>
  <dimension ref="A1:R37"/>
  <sheetViews>
    <sheetView showGridLines="0" tabSelected="1" workbookViewId="0">
      <selection sqref="A1:O1"/>
    </sheetView>
  </sheetViews>
  <sheetFormatPr defaultColWidth="10.140625" defaultRowHeight="14.1" customHeight="1" x14ac:dyDescent="0.2"/>
  <cols>
    <col min="1" max="1" width="26.7109375" style="1" customWidth="1"/>
    <col min="2" max="2" width="10.7109375" style="1" customWidth="1"/>
    <col min="3" max="3" width="6.7109375" style="1" customWidth="1"/>
    <col min="4" max="6" width="9.140625" customWidth="1"/>
    <col min="7" max="7" width="3" style="3" bestFit="1" customWidth="1"/>
    <col min="8" max="15" width="10.140625" style="4" customWidth="1"/>
    <col min="16" max="16" width="8.7109375" style="8" customWidth="1"/>
    <col min="17" max="17" width="8.7109375" style="16" customWidth="1"/>
    <col min="18" max="18" width="14.5703125" style="3" bestFit="1" customWidth="1"/>
    <col min="19" max="16384" width="10.140625" style="4"/>
  </cols>
  <sheetData>
    <row r="1" spans="1:18" ht="15.95" customHeight="1" x14ac:dyDescent="0.25">
      <c r="A1" s="64" t="s">
        <v>31</v>
      </c>
      <c r="B1" s="64"/>
      <c r="C1" s="64"/>
      <c r="D1" s="64"/>
      <c r="E1" s="64"/>
      <c r="F1" s="64"/>
      <c r="G1" s="64"/>
      <c r="H1" s="64"/>
      <c r="I1" s="64"/>
      <c r="J1" s="64"/>
      <c r="K1" s="64"/>
      <c r="L1" s="64"/>
      <c r="M1" s="64"/>
      <c r="N1" s="64"/>
      <c r="O1" s="64"/>
    </row>
    <row r="2" spans="1:18" ht="14.1" customHeight="1" x14ac:dyDescent="0.25">
      <c r="A2" s="32" t="s">
        <v>4</v>
      </c>
      <c r="B2" s="5"/>
      <c r="C2" s="39"/>
      <c r="Q2" s="2" t="s">
        <v>3</v>
      </c>
      <c r="R2" s="62" t="s">
        <v>29</v>
      </c>
    </row>
    <row r="3" spans="1:18" ht="14.1" customHeight="1" x14ac:dyDescent="0.2">
      <c r="A3" s="20" t="s">
        <v>13</v>
      </c>
      <c r="B3" s="22">
        <v>1000</v>
      </c>
      <c r="C3" s="11" t="s">
        <v>5</v>
      </c>
      <c r="Q3" s="7" t="s">
        <v>7</v>
      </c>
      <c r="R3" s="7" t="s">
        <v>8</v>
      </c>
    </row>
    <row r="4" spans="1:18" ht="14.1" customHeight="1" x14ac:dyDescent="0.2">
      <c r="A4" s="21" t="s">
        <v>14</v>
      </c>
      <c r="B4" s="22">
        <v>0.1</v>
      </c>
      <c r="C4" s="10" t="s">
        <v>9</v>
      </c>
      <c r="Q4" s="40">
        <v>1</v>
      </c>
      <c r="R4" s="41">
        <f t="shared" ref="R4:R28" si="0">q*erfc1(SQRT(sdf/(4*Q4)))</f>
        <v>2.035177316970033E-2</v>
      </c>
    </row>
    <row r="5" spans="1:18" ht="14.1" customHeight="1" x14ac:dyDescent="0.2">
      <c r="C5" s="11"/>
      <c r="Q5" s="40">
        <v>2</v>
      </c>
      <c r="R5" s="41">
        <f t="shared" si="0"/>
        <v>0.62096801114380107</v>
      </c>
    </row>
    <row r="6" spans="1:18" ht="14.1" customHeight="1" x14ac:dyDescent="0.2">
      <c r="A6" s="9"/>
      <c r="B6" s="9"/>
      <c r="C6" s="9"/>
      <c r="Q6" s="40">
        <v>3</v>
      </c>
      <c r="R6" s="41">
        <f t="shared" si="0"/>
        <v>2.0613349235039116</v>
      </c>
    </row>
    <row r="7" spans="1:18" ht="14.1" customHeight="1" x14ac:dyDescent="0.2">
      <c r="A7" s="9"/>
      <c r="B7" s="10"/>
      <c r="C7" s="11"/>
      <c r="Q7" s="40">
        <v>4</v>
      </c>
      <c r="R7" s="41">
        <f t="shared" si="0"/>
        <v>3.8549890028526366</v>
      </c>
    </row>
    <row r="8" spans="1:18" ht="14.1" customHeight="1" x14ac:dyDescent="0.2">
      <c r="A8" s="9"/>
      <c r="B8" s="10"/>
      <c r="C8" s="10"/>
      <c r="Q8" s="40">
        <v>5</v>
      </c>
      <c r="R8" s="41">
        <f t="shared" si="0"/>
        <v>5.6923154384201551</v>
      </c>
    </row>
    <row r="9" spans="1:18" ht="14.1" customHeight="1" x14ac:dyDescent="0.2">
      <c r="A9" s="12"/>
      <c r="B9" s="10"/>
      <c r="C9" s="10"/>
      <c r="Q9" s="40">
        <v>6</v>
      </c>
      <c r="R9" s="41">
        <f t="shared" si="0"/>
        <v>7.4457381441010382</v>
      </c>
    </row>
    <row r="10" spans="1:18" ht="14.1" customHeight="1" x14ac:dyDescent="0.2">
      <c r="A10" s="12"/>
      <c r="B10" s="10"/>
      <c r="C10" s="10"/>
      <c r="Q10" s="40">
        <v>7</v>
      </c>
      <c r="R10" s="41">
        <f t="shared" si="0"/>
        <v>9.0724668570725164</v>
      </c>
    </row>
    <row r="11" spans="1:18" ht="14.1" customHeight="1" x14ac:dyDescent="0.2">
      <c r="A11" s="9"/>
      <c r="B11" s="13"/>
      <c r="C11" s="10"/>
      <c r="Q11" s="40">
        <v>8</v>
      </c>
      <c r="R11" s="41">
        <f t="shared" si="0"/>
        <v>10.564984220537601</v>
      </c>
    </row>
    <row r="12" spans="1:18" ht="14.1" customHeight="1" x14ac:dyDescent="0.2">
      <c r="A12" s="10"/>
      <c r="B12" s="10"/>
      <c r="C12" s="10"/>
      <c r="Q12" s="40">
        <v>9</v>
      </c>
      <c r="R12" s="41">
        <f t="shared" si="0"/>
        <v>11.929647648963565</v>
      </c>
    </row>
    <row r="13" spans="1:18" ht="14.1" customHeight="1" x14ac:dyDescent="0.2">
      <c r="A13" s="9"/>
      <c r="B13" s="9"/>
      <c r="C13" s="9"/>
      <c r="Q13" s="40">
        <v>10</v>
      </c>
      <c r="R13" s="41">
        <f t="shared" si="0"/>
        <v>13.177628781475335</v>
      </c>
    </row>
    <row r="14" spans="1:18" ht="14.1" customHeight="1" x14ac:dyDescent="0.2">
      <c r="A14" s="9"/>
      <c r="B14" s="10"/>
      <c r="C14" s="10"/>
      <c r="Q14" s="40">
        <v>15</v>
      </c>
      <c r="R14" s="41">
        <f t="shared" si="0"/>
        <v>18.065518991362634</v>
      </c>
    </row>
    <row r="15" spans="1:18" ht="14.1" customHeight="1" x14ac:dyDescent="0.2">
      <c r="A15" s="9"/>
      <c r="B15" s="10"/>
      <c r="C15" s="10"/>
      <c r="Q15" s="40">
        <v>20</v>
      </c>
      <c r="R15" s="41">
        <f t="shared" si="0"/>
        <v>21.459758826417051</v>
      </c>
    </row>
    <row r="16" spans="1:18" ht="14.1" customHeight="1" x14ac:dyDescent="0.2">
      <c r="A16" s="9"/>
      <c r="B16" s="10"/>
      <c r="C16" s="10"/>
      <c r="Q16" s="40">
        <v>25</v>
      </c>
      <c r="R16" s="41">
        <f t="shared" si="0"/>
        <v>23.974999184762641</v>
      </c>
    </row>
    <row r="17" spans="1:18" ht="14.1" customHeight="1" x14ac:dyDescent="0.2">
      <c r="A17" s="12"/>
      <c r="B17" s="10"/>
      <c r="C17" s="10"/>
      <c r="Q17" s="40">
        <v>30</v>
      </c>
      <c r="R17" s="41">
        <f t="shared" si="0"/>
        <v>25.93024468937908</v>
      </c>
    </row>
    <row r="18" spans="1:18" ht="14.1" customHeight="1" x14ac:dyDescent="0.2">
      <c r="A18" s="4"/>
      <c r="B18" s="4"/>
      <c r="C18" s="23"/>
      <c r="Q18" s="40">
        <v>50</v>
      </c>
      <c r="R18" s="41">
        <f t="shared" si="0"/>
        <v>30.853753727600591</v>
      </c>
    </row>
    <row r="19" spans="1:18" ht="14.1" customHeight="1" x14ac:dyDescent="0.25">
      <c r="A19" s="32" t="s">
        <v>12</v>
      </c>
      <c r="B19" s="5"/>
      <c r="C19" s="39"/>
      <c r="Q19" s="40">
        <v>60</v>
      </c>
      <c r="R19" s="41">
        <f t="shared" si="0"/>
        <v>32.403845609030292</v>
      </c>
    </row>
    <row r="20" spans="1:18" ht="14.1" customHeight="1" x14ac:dyDescent="0.2">
      <c r="A20" s="21" t="s">
        <v>27</v>
      </c>
      <c r="B20" s="22">
        <v>50</v>
      </c>
      <c r="C20" s="10" t="s">
        <v>8</v>
      </c>
      <c r="Q20" s="40">
        <v>70</v>
      </c>
      <c r="R20" s="41">
        <f t="shared" si="0"/>
        <v>33.630194789182596</v>
      </c>
    </row>
    <row r="21" spans="1:18" ht="14.1" customHeight="1" x14ac:dyDescent="0.2">
      <c r="A21" s="21" t="s">
        <v>28</v>
      </c>
      <c r="B21" s="22">
        <v>500</v>
      </c>
      <c r="C21" s="10" t="s">
        <v>0</v>
      </c>
      <c r="Q21" s="40">
        <v>80</v>
      </c>
      <c r="R21" s="41">
        <f t="shared" si="0"/>
        <v>34.631644320186872</v>
      </c>
    </row>
    <row r="22" spans="1:18" ht="14.1" customHeight="1" x14ac:dyDescent="0.2">
      <c r="A22" s="34" t="s">
        <v>30</v>
      </c>
      <c r="B22" s="50">
        <f>L^2*S/T</f>
        <v>25</v>
      </c>
      <c r="C22" s="10" t="s">
        <v>7</v>
      </c>
      <c r="Q22" s="40">
        <v>90</v>
      </c>
      <c r="R22" s="41">
        <f t="shared" si="0"/>
        <v>35.469411676969983</v>
      </c>
    </row>
    <row r="23" spans="1:18" ht="14.1" customHeight="1" x14ac:dyDescent="0.25">
      <c r="A23" s="57"/>
      <c r="B23" s="9"/>
      <c r="C23" s="10"/>
      <c r="Q23" s="40">
        <v>100</v>
      </c>
      <c r="R23" s="41">
        <f t="shared" si="0"/>
        <v>36.183686932323639</v>
      </c>
    </row>
    <row r="24" spans="1:18" ht="14.1" customHeight="1" x14ac:dyDescent="0.2">
      <c r="A24" s="34"/>
      <c r="B24" s="58"/>
      <c r="C24" s="10"/>
      <c r="Q24" s="40">
        <v>150</v>
      </c>
      <c r="R24" s="41">
        <f t="shared" si="0"/>
        <v>38.641506312663111</v>
      </c>
    </row>
    <row r="25" spans="1:18" ht="14.1" customHeight="1" x14ac:dyDescent="0.2">
      <c r="A25" s="63"/>
      <c r="B25" s="35"/>
      <c r="C25" s="10"/>
      <c r="Q25" s="40">
        <v>200</v>
      </c>
      <c r="R25" s="41">
        <f t="shared" si="0"/>
        <v>40.129372931588634</v>
      </c>
    </row>
    <row r="26" spans="1:18" ht="14.1" customHeight="1" x14ac:dyDescent="0.2">
      <c r="B26" s="38">
        <f>B25^2*S/T</f>
        <v>0</v>
      </c>
      <c r="C26" s="10"/>
      <c r="Q26" s="40">
        <v>250</v>
      </c>
      <c r="R26" s="41">
        <f t="shared" si="0"/>
        <v>41.153167789772418</v>
      </c>
    </row>
    <row r="27" spans="1:18" ht="14.1" customHeight="1" x14ac:dyDescent="0.25">
      <c r="A27" s="32" t="s">
        <v>33</v>
      </c>
      <c r="B27" s="25"/>
      <c r="C27" s="25"/>
      <c r="Q27" s="40">
        <v>300</v>
      </c>
      <c r="R27" s="41">
        <f t="shared" si="0"/>
        <v>41.912827106339762</v>
      </c>
    </row>
    <row r="28" spans="1:18" ht="14.1" customHeight="1" thickBot="1" x14ac:dyDescent="0.25">
      <c r="A28" s="45" t="s">
        <v>15</v>
      </c>
      <c r="B28" s="29" t="s">
        <v>16</v>
      </c>
      <c r="C28" s="45" t="s">
        <v>17</v>
      </c>
      <c r="D28" s="49"/>
      <c r="Q28" s="40">
        <v>400</v>
      </c>
      <c r="R28" s="41">
        <f t="shared" si="0"/>
        <v>42.98419037610438</v>
      </c>
    </row>
    <row r="29" spans="1:18" ht="14.1" customHeight="1" x14ac:dyDescent="0.2">
      <c r="A29" s="30">
        <v>7</v>
      </c>
      <c r="B29" s="28">
        <f>q*C29</f>
        <v>9.0724668570725164</v>
      </c>
      <c r="C29" s="48">
        <f>erfc1(SQRT(sdf/(4*A29)))</f>
        <v>0.18144933714145034</v>
      </c>
      <c r="D29" s="49"/>
    </row>
    <row r="30" spans="1:18" ht="14.1" customHeight="1" x14ac:dyDescent="0.2">
      <c r="A30" s="31">
        <v>30</v>
      </c>
      <c r="B30" s="28">
        <f>q*C30</f>
        <v>25.93024468937908</v>
      </c>
      <c r="C30" s="48">
        <f>erfc1(SQRT(sdf/(4*A30)))</f>
        <v>0.51860489378758157</v>
      </c>
      <c r="D30" s="49"/>
    </row>
    <row r="31" spans="1:18" ht="14.1" customHeight="1" x14ac:dyDescent="0.2">
      <c r="A31" s="31">
        <v>150</v>
      </c>
      <c r="B31" s="28">
        <f>q*C31</f>
        <v>38.641506312663111</v>
      </c>
      <c r="C31" s="48">
        <f>erfc1(SQRT(sdf/(4*A31)))</f>
        <v>0.7728301262532622</v>
      </c>
      <c r="D31" s="49"/>
    </row>
    <row r="32" spans="1:18" ht="14.1" customHeight="1" x14ac:dyDescent="0.2">
      <c r="A32" s="52">
        <v>365</v>
      </c>
      <c r="B32" s="28">
        <f>q*C32</f>
        <v>42.659166626051984</v>
      </c>
      <c r="C32" s="48">
        <f>erfc1(SQRT(sdf/(4*A32)))</f>
        <v>0.85318333252103973</v>
      </c>
      <c r="D32" s="49"/>
      <c r="P32" s="4"/>
      <c r="Q32" s="4"/>
    </row>
    <row r="33" spans="1:16" ht="14.1" customHeight="1" x14ac:dyDescent="0.2">
      <c r="A33" s="10"/>
      <c r="B33" s="10"/>
      <c r="C33" s="10"/>
    </row>
    <row r="34" spans="1:16" ht="14.1" customHeight="1" x14ac:dyDescent="0.2">
      <c r="A34" s="10"/>
      <c r="B34" s="10"/>
      <c r="C34" s="46"/>
      <c r="P34" s="15"/>
    </row>
    <row r="35" spans="1:16" ht="14.1" customHeight="1" x14ac:dyDescent="0.2">
      <c r="A35" s="4"/>
      <c r="B35" s="4"/>
      <c r="C35" s="4"/>
    </row>
    <row r="37" spans="1:16" ht="14.1" customHeight="1" x14ac:dyDescent="0.2">
      <c r="A37" s="15"/>
      <c r="B37" s="15"/>
      <c r="C37" s="15"/>
    </row>
  </sheetData>
  <sheetProtection algorithmName="SHA-512" hashValue="IyjOFmmUiqE+IZ/d7AgHjh/QGZbbYeNo7ikMRYTcvJleoR9ADkvuuUEecYiNTFJHJEo3CfQ3TgWyxxL6U5cVEA==" saltValue="xYjR9CoQaX5YhBIY+hA/Lw==" spinCount="100000" sheet="1" objects="1" scenarios="1"/>
  <mergeCells count="1">
    <mergeCell ref="A1:O1"/>
  </mergeCells>
  <phoneticPr fontId="0" type="noConversion"/>
  <pageMargins left="0.75" right="0.18" top="1" bottom="1" header="0.5" footer="0.5"/>
  <pageSetup paperSize="9" scale="72" orientation="landscape" r:id="rId1"/>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R38"/>
  <sheetViews>
    <sheetView showGridLines="0" workbookViewId="0">
      <selection sqref="A1:O1"/>
    </sheetView>
  </sheetViews>
  <sheetFormatPr defaultColWidth="10.140625" defaultRowHeight="14.1" customHeight="1" x14ac:dyDescent="0.2"/>
  <cols>
    <col min="1" max="1" width="26.7109375" style="1" customWidth="1"/>
    <col min="2" max="2" width="10.7109375" style="1" customWidth="1"/>
    <col min="3" max="3" width="6.7109375" style="1" customWidth="1"/>
    <col min="4" max="6" width="9.140625" customWidth="1"/>
    <col min="7" max="7" width="3" style="3" bestFit="1" customWidth="1"/>
    <col min="8" max="15" width="10.140625" style="4" customWidth="1"/>
    <col min="16" max="16" width="8.7109375" style="8" customWidth="1"/>
    <col min="17" max="17" width="8.7109375" style="16" customWidth="1"/>
    <col min="18" max="18" width="14.5703125" style="3" bestFit="1" customWidth="1"/>
    <col min="19" max="16384" width="10.140625" style="4"/>
  </cols>
  <sheetData>
    <row r="1" spans="1:18" ht="15.95" customHeight="1" x14ac:dyDescent="0.25">
      <c r="A1" s="64" t="s">
        <v>25</v>
      </c>
      <c r="B1" s="64"/>
      <c r="C1" s="64"/>
      <c r="D1" s="64"/>
      <c r="E1" s="64"/>
      <c r="F1" s="64"/>
      <c r="G1" s="64"/>
      <c r="H1" s="64"/>
      <c r="I1" s="64"/>
      <c r="J1" s="64"/>
      <c r="K1" s="64"/>
      <c r="L1" s="64"/>
      <c r="M1" s="64"/>
      <c r="N1" s="64"/>
      <c r="O1" s="64"/>
    </row>
    <row r="2" spans="1:18" ht="14.1" customHeight="1" x14ac:dyDescent="0.25">
      <c r="A2" s="65" t="s">
        <v>4</v>
      </c>
      <c r="B2" s="66"/>
      <c r="C2" s="19"/>
      <c r="Q2" s="2" t="s">
        <v>3</v>
      </c>
      <c r="R2" s="62" t="s">
        <v>29</v>
      </c>
    </row>
    <row r="3" spans="1:18" ht="14.1" customHeight="1" x14ac:dyDescent="0.2">
      <c r="A3" s="20" t="s">
        <v>13</v>
      </c>
      <c r="B3" s="22">
        <v>1000</v>
      </c>
      <c r="C3" s="6" t="s">
        <v>5</v>
      </c>
      <c r="Q3" s="7" t="s">
        <v>7</v>
      </c>
      <c r="R3" s="7" t="s">
        <v>8</v>
      </c>
    </row>
    <row r="4" spans="1:18" ht="14.1" customHeight="1" x14ac:dyDescent="0.2">
      <c r="A4" s="21" t="s">
        <v>14</v>
      </c>
      <c r="B4" s="22">
        <v>0.1</v>
      </c>
      <c r="C4" s="1" t="s">
        <v>9</v>
      </c>
      <c r="Q4" s="40">
        <v>1</v>
      </c>
      <c r="R4" s="41">
        <f t="shared" ref="R4:R28" si="0">q*q_4(Q4*T/(S*L^2),0,1,lambda*L/T)</f>
        <v>4.085347074141093E-3</v>
      </c>
    </row>
    <row r="5" spans="1:18" ht="14.1" customHeight="1" x14ac:dyDescent="0.2">
      <c r="C5" s="6"/>
      <c r="Q5" s="40">
        <v>2</v>
      </c>
      <c r="R5" s="41">
        <f t="shared" si="0"/>
        <v>0.60409366054461711</v>
      </c>
    </row>
    <row r="6" spans="1:18" ht="14.1" customHeight="1" x14ac:dyDescent="0.2">
      <c r="A6" s="9"/>
      <c r="B6" s="9"/>
      <c r="C6" s="9"/>
      <c r="Q6" s="40">
        <v>3</v>
      </c>
      <c r="R6" s="41">
        <f t="shared" si="0"/>
        <v>2.0502288910279849</v>
      </c>
    </row>
    <row r="7" spans="1:18" ht="14.1" customHeight="1" x14ac:dyDescent="0.2">
      <c r="A7" s="9"/>
      <c r="B7" s="10"/>
      <c r="C7" s="11"/>
      <c r="Q7" s="40">
        <v>4</v>
      </c>
      <c r="R7" s="41">
        <f t="shared" si="0"/>
        <v>3.8283214552138554</v>
      </c>
    </row>
    <row r="8" spans="1:18" ht="14.1" customHeight="1" x14ac:dyDescent="0.2">
      <c r="A8" s="9"/>
      <c r="B8" s="10"/>
      <c r="C8" s="10"/>
      <c r="Q8" s="40">
        <v>5</v>
      </c>
      <c r="R8" s="41">
        <f t="shared" si="0"/>
        <v>5.6442478316744644</v>
      </c>
    </row>
    <row r="9" spans="1:18" ht="14.1" customHeight="1" x14ac:dyDescent="0.2">
      <c r="A9" s="12"/>
      <c r="B9" s="10"/>
      <c r="C9" s="10"/>
      <c r="Q9" s="40">
        <v>6</v>
      </c>
      <c r="R9" s="41">
        <f t="shared" si="0"/>
        <v>7.3783408281297103</v>
      </c>
    </row>
    <row r="10" spans="1:18" ht="14.1" customHeight="1" x14ac:dyDescent="0.2">
      <c r="A10" s="12"/>
      <c r="B10" s="10"/>
      <c r="C10" s="10"/>
      <c r="Q10" s="40">
        <v>7</v>
      </c>
      <c r="R10" s="41">
        <f t="shared" si="0"/>
        <v>8.9898804663554834</v>
      </c>
    </row>
    <row r="11" spans="1:18" ht="14.1" customHeight="1" x14ac:dyDescent="0.2">
      <c r="A11" s="9"/>
      <c r="B11" s="13"/>
      <c r="C11" s="10"/>
      <c r="Q11" s="40">
        <v>8</v>
      </c>
      <c r="R11" s="41">
        <f t="shared" si="0"/>
        <v>10.471233042976895</v>
      </c>
    </row>
    <row r="12" spans="1:18" ht="14.1" customHeight="1" x14ac:dyDescent="0.25">
      <c r="A12" s="19" t="s">
        <v>11</v>
      </c>
      <c r="B12" s="26"/>
      <c r="C12" s="19"/>
      <c r="Q12" s="40">
        <v>9</v>
      </c>
      <c r="R12" s="41">
        <f t="shared" si="0"/>
        <v>11.828041654117879</v>
      </c>
    </row>
    <row r="13" spans="1:18" ht="14.1" customHeight="1" x14ac:dyDescent="0.2">
      <c r="A13" s="21" t="s">
        <v>21</v>
      </c>
      <c r="B13" s="22">
        <v>1000</v>
      </c>
      <c r="C13" s="1" t="s">
        <v>1</v>
      </c>
      <c r="Q13" s="40">
        <v>10</v>
      </c>
      <c r="R13" s="41">
        <f t="shared" si="0"/>
        <v>13.070720169472494</v>
      </c>
    </row>
    <row r="14" spans="1:18" ht="14.1" customHeight="1" x14ac:dyDescent="0.2">
      <c r="A14" s="21" t="s">
        <v>22</v>
      </c>
      <c r="B14" s="22">
        <v>1</v>
      </c>
      <c r="C14" s="1" t="s">
        <v>0</v>
      </c>
      <c r="Q14" s="40">
        <v>15</v>
      </c>
      <c r="R14" s="41">
        <f t="shared" si="0"/>
        <v>17.952424862284733</v>
      </c>
    </row>
    <row r="15" spans="1:18" ht="14.1" customHeight="1" x14ac:dyDescent="0.2">
      <c r="A15" s="21" t="s">
        <v>23</v>
      </c>
      <c r="B15" s="22">
        <v>1</v>
      </c>
      <c r="C15" s="1" t="s">
        <v>0</v>
      </c>
      <c r="Q15" s="40">
        <v>20</v>
      </c>
      <c r="R15" s="41">
        <f t="shared" si="0"/>
        <v>21.352310040320031</v>
      </c>
    </row>
    <row r="16" spans="1:18" ht="14.1" customHeight="1" x14ac:dyDescent="0.2">
      <c r="A16" s="21" t="s">
        <v>24</v>
      </c>
      <c r="B16" s="44">
        <f>Condbed*bedwidth/Thickbed</f>
        <v>1000</v>
      </c>
      <c r="C16" s="1" t="s">
        <v>1</v>
      </c>
      <c r="Q16" s="40">
        <v>25</v>
      </c>
      <c r="R16" s="41">
        <f t="shared" si="0"/>
        <v>23.874871413686066</v>
      </c>
    </row>
    <row r="17" spans="1:18" ht="14.1" customHeight="1" x14ac:dyDescent="0.2">
      <c r="Q17" s="40">
        <v>30</v>
      </c>
      <c r="R17" s="41">
        <f t="shared" si="0"/>
        <v>25.836901673968772</v>
      </c>
    </row>
    <row r="18" spans="1:18" ht="14.1" customHeight="1" x14ac:dyDescent="0.2">
      <c r="A18" s="4"/>
      <c r="B18" s="4"/>
      <c r="C18" s="4"/>
      <c r="Q18" s="40">
        <v>50</v>
      </c>
      <c r="R18" s="41">
        <f t="shared" si="0"/>
        <v>30.779243284537973</v>
      </c>
    </row>
    <row r="19" spans="1:18" ht="14.1" customHeight="1" x14ac:dyDescent="0.25">
      <c r="A19" s="32" t="s">
        <v>12</v>
      </c>
      <c r="B19" s="5"/>
      <c r="C19" s="39"/>
      <c r="Q19" s="40">
        <v>60</v>
      </c>
      <c r="R19" s="41">
        <f t="shared" si="0"/>
        <v>32.335357252757255</v>
      </c>
    </row>
    <row r="20" spans="1:18" ht="14.1" customHeight="1" x14ac:dyDescent="0.2">
      <c r="A20" s="21" t="s">
        <v>27</v>
      </c>
      <c r="B20" s="22">
        <v>50</v>
      </c>
      <c r="C20" s="10" t="s">
        <v>8</v>
      </c>
      <c r="Q20" s="40">
        <v>70</v>
      </c>
      <c r="R20" s="41">
        <f t="shared" si="0"/>
        <v>33.566432868482444</v>
      </c>
    </row>
    <row r="21" spans="1:18" ht="14.1" customHeight="1" x14ac:dyDescent="0.2">
      <c r="A21" s="21" t="s">
        <v>28</v>
      </c>
      <c r="B21" s="22">
        <v>500</v>
      </c>
      <c r="C21" s="10" t="s">
        <v>0</v>
      </c>
      <c r="Q21" s="40">
        <v>80</v>
      </c>
      <c r="R21" s="41">
        <f t="shared" si="0"/>
        <v>34.571711113240454</v>
      </c>
    </row>
    <row r="22" spans="1:18" ht="14.1" customHeight="1" x14ac:dyDescent="0.2">
      <c r="A22" s="34"/>
      <c r="B22" s="35"/>
      <c r="C22" s="10"/>
      <c r="Q22" s="40">
        <v>90</v>
      </c>
      <c r="R22" s="41">
        <f t="shared" si="0"/>
        <v>35.412660660750149</v>
      </c>
    </row>
    <row r="23" spans="1:18" ht="14.1" customHeight="1" x14ac:dyDescent="0.25">
      <c r="A23" s="57"/>
      <c r="B23" s="9"/>
      <c r="C23" s="10"/>
      <c r="Q23" s="40">
        <v>100</v>
      </c>
      <c r="R23" s="41">
        <f t="shared" si="0"/>
        <v>36.12963619121625</v>
      </c>
    </row>
    <row r="24" spans="1:18" ht="14.1" customHeight="1" x14ac:dyDescent="0.2">
      <c r="A24" s="34"/>
      <c r="B24" s="58"/>
      <c r="C24" s="10"/>
      <c r="Q24" s="40">
        <v>150</v>
      </c>
      <c r="R24" s="41">
        <f t="shared" si="0"/>
        <v>38.596698838832175</v>
      </c>
    </row>
    <row r="25" spans="1:18" ht="14.1" customHeight="1" x14ac:dyDescent="0.2">
      <c r="A25" s="63"/>
      <c r="B25" s="35"/>
      <c r="C25" s="10"/>
      <c r="Q25" s="40">
        <v>200</v>
      </c>
      <c r="R25" s="41">
        <f t="shared" si="0"/>
        <v>40.090172597619741</v>
      </c>
    </row>
    <row r="26" spans="1:18" ht="14.1" customHeight="1" x14ac:dyDescent="0.2">
      <c r="B26" s="18"/>
      <c r="Q26" s="40">
        <v>250</v>
      </c>
      <c r="R26" s="41">
        <f t="shared" si="0"/>
        <v>41.117855046724308</v>
      </c>
    </row>
    <row r="27" spans="1:18" ht="14.1" customHeight="1" x14ac:dyDescent="0.25">
      <c r="A27" s="65" t="s">
        <v>33</v>
      </c>
      <c r="B27" s="66"/>
      <c r="C27" s="24"/>
      <c r="Q27" s="40">
        <v>300</v>
      </c>
      <c r="R27" s="41">
        <f t="shared" si="0"/>
        <v>41.880422112257307</v>
      </c>
    </row>
    <row r="28" spans="1:18" ht="14.1" customHeight="1" thickBot="1" x14ac:dyDescent="0.25">
      <c r="A28" s="27" t="s">
        <v>15</v>
      </c>
      <c r="B28" s="29" t="s">
        <v>16</v>
      </c>
      <c r="C28" s="27" t="s">
        <v>17</v>
      </c>
      <c r="Q28" s="40">
        <v>400</v>
      </c>
      <c r="R28" s="41">
        <f t="shared" si="0"/>
        <v>42.955927382787948</v>
      </c>
    </row>
    <row r="29" spans="1:18" ht="14.1" customHeight="1" x14ac:dyDescent="0.2">
      <c r="A29" s="30">
        <v>7</v>
      </c>
      <c r="B29" s="28">
        <f>q*C29</f>
        <v>8.9898804663554834</v>
      </c>
      <c r="C29" s="43">
        <f>q_4(A29*T/(S*L^2),0,1,lambda*L/T)</f>
        <v>0.17979760932710967</v>
      </c>
    </row>
    <row r="30" spans="1:18" ht="14.1" customHeight="1" x14ac:dyDescent="0.2">
      <c r="A30" s="31">
        <v>30</v>
      </c>
      <c r="B30" s="28">
        <f>q*C30</f>
        <v>25.836901673968772</v>
      </c>
      <c r="C30" s="43">
        <f>q_4(A30*T/(S*L^2),0,1,lambda*L/T)</f>
        <v>0.51673803347937541</v>
      </c>
    </row>
    <row r="31" spans="1:18" ht="14.1" customHeight="1" x14ac:dyDescent="0.2">
      <c r="A31" s="31">
        <v>150</v>
      </c>
      <c r="B31" s="28">
        <f>q*C31</f>
        <v>38.596698838832175</v>
      </c>
      <c r="C31" s="43">
        <f>q_4(A31*T/(S*L^2),0,1,lambda*L/T)</f>
        <v>0.77193397677664344</v>
      </c>
    </row>
    <row r="32" spans="1:18" ht="14.1" customHeight="1" x14ac:dyDescent="0.2">
      <c r="A32" s="53">
        <v>365</v>
      </c>
      <c r="B32" s="28">
        <f>q*C32</f>
        <v>42.629641580423595</v>
      </c>
      <c r="C32" s="43">
        <f>q_4(A32*T/(S*L^2),0,1,lambda*L/T)</f>
        <v>0.85259283160847188</v>
      </c>
      <c r="P32" s="4"/>
      <c r="Q32" s="4"/>
    </row>
    <row r="33" spans="1:16" ht="14.1" customHeight="1" x14ac:dyDescent="0.2">
      <c r="A33" s="4"/>
      <c r="B33" s="4"/>
      <c r="C33" s="4"/>
    </row>
    <row r="34" spans="1:16" ht="14.1" customHeight="1" x14ac:dyDescent="0.2">
      <c r="C34" s="14"/>
      <c r="P34" s="15"/>
    </row>
    <row r="35" spans="1:16" ht="14.1" customHeight="1" x14ac:dyDescent="0.2">
      <c r="A35" s="4"/>
      <c r="B35" s="4"/>
      <c r="C35" s="4"/>
    </row>
    <row r="37" spans="1:16" ht="14.1" customHeight="1" x14ac:dyDescent="0.2">
      <c r="A37" s="15"/>
      <c r="B37" s="15"/>
      <c r="C37" s="15"/>
    </row>
    <row r="38" spans="1:16" ht="14.1" customHeight="1" x14ac:dyDescent="0.2">
      <c r="A38" s="42" t="s">
        <v>32</v>
      </c>
    </row>
  </sheetData>
  <sheetProtection algorithmName="SHA-512" hashValue="UKwXDo1A5uGuDoKspGVDtdItwI2EuSBk8mn4D3jM96IRtrpmxMdX11ctm8gyOpbHE4SJhvDMXqDTPDjdGNVD+A==" saltValue="Xc9uTXcb7LIWaHtchlM2Pw==" spinCount="100000" sheet="1" objects="1" scenarios="1"/>
  <mergeCells count="3">
    <mergeCell ref="A27:B27"/>
    <mergeCell ref="A2:B2"/>
    <mergeCell ref="A1:O1"/>
  </mergeCells>
  <phoneticPr fontId="0" type="noConversion"/>
  <pageMargins left="0.75" right="0.18" top="1" bottom="1" header="0.5" footer="0.5"/>
  <pageSetup paperSize="9" scale="88" orientation="landscape" r:id="rId1"/>
  <headerFooter alignWithMargins="0">
    <oddHeader>&amp;A</oddHeader>
    <oddFooter>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R38"/>
  <sheetViews>
    <sheetView showGridLines="0" workbookViewId="0">
      <selection sqref="A1:O1"/>
    </sheetView>
  </sheetViews>
  <sheetFormatPr defaultColWidth="10.140625" defaultRowHeight="14.1" customHeight="1" x14ac:dyDescent="0.2"/>
  <cols>
    <col min="1" max="1" width="26.7109375" style="1" customWidth="1"/>
    <col min="2" max="2" width="10.7109375" style="1" customWidth="1"/>
    <col min="3" max="3" width="6.7109375" style="1" customWidth="1"/>
    <col min="4" max="6" width="9.140625" customWidth="1"/>
    <col min="7" max="7" width="3" style="3" bestFit="1" customWidth="1"/>
    <col min="8" max="15" width="10.140625" style="4" customWidth="1"/>
    <col min="16" max="16" width="8.7109375" style="8" customWidth="1"/>
    <col min="17" max="17" width="8.7109375" style="16" customWidth="1"/>
    <col min="18" max="18" width="14.5703125" style="3" bestFit="1" customWidth="1"/>
    <col min="19" max="16384" width="10.140625" style="4"/>
  </cols>
  <sheetData>
    <row r="1" spans="1:18" ht="15.95" customHeight="1" x14ac:dyDescent="0.25">
      <c r="A1" s="64" t="s">
        <v>26</v>
      </c>
      <c r="B1" s="64"/>
      <c r="C1" s="64"/>
      <c r="D1" s="64"/>
      <c r="E1" s="64"/>
      <c r="F1" s="64"/>
      <c r="G1" s="64"/>
      <c r="H1" s="64"/>
      <c r="I1" s="64"/>
      <c r="J1" s="64"/>
      <c r="K1" s="64"/>
      <c r="L1" s="64"/>
      <c r="M1" s="64"/>
      <c r="N1" s="64"/>
      <c r="O1" s="64"/>
    </row>
    <row r="2" spans="1:18" ht="14.1" customHeight="1" x14ac:dyDescent="0.25">
      <c r="A2" s="51" t="s">
        <v>4</v>
      </c>
      <c r="B2" s="5"/>
      <c r="C2" s="39"/>
      <c r="Q2" s="2" t="s">
        <v>3</v>
      </c>
      <c r="R2" s="54" t="s">
        <v>29</v>
      </c>
    </row>
    <row r="3" spans="1:18" ht="14.1" customHeight="1" x14ac:dyDescent="0.2">
      <c r="A3" s="20" t="s">
        <v>13</v>
      </c>
      <c r="B3" s="22">
        <v>1000</v>
      </c>
      <c r="C3" s="11" t="s">
        <v>5</v>
      </c>
      <c r="Q3" s="7" t="s">
        <v>7</v>
      </c>
      <c r="R3" s="7" t="s">
        <v>8</v>
      </c>
    </row>
    <row r="4" spans="1:18" ht="14.1" customHeight="1" x14ac:dyDescent="0.2">
      <c r="A4" s="21" t="s">
        <v>14</v>
      </c>
      <c r="B4" s="22">
        <v>0.1</v>
      </c>
      <c r="C4" s="10" t="s">
        <v>9</v>
      </c>
      <c r="Q4" s="40">
        <v>1</v>
      </c>
      <c r="R4" s="41">
        <f t="shared" ref="R4:R28" si="0">q*q_4(Q4*T/(S*L^2),KB*L^2/T,S/Sy,lambda*L/T)</f>
        <v>4.085347074141093E-3</v>
      </c>
    </row>
    <row r="5" spans="1:18" ht="14.1" customHeight="1" x14ac:dyDescent="0.2">
      <c r="C5" s="11"/>
      <c r="Q5" s="40">
        <v>2</v>
      </c>
      <c r="R5" s="41">
        <f t="shared" si="0"/>
        <v>0.60409366054461711</v>
      </c>
    </row>
    <row r="6" spans="1:18" ht="14.1" customHeight="1" x14ac:dyDescent="0.25">
      <c r="A6" s="32" t="s">
        <v>10</v>
      </c>
      <c r="B6" s="5"/>
      <c r="C6" s="39"/>
      <c r="Q6" s="40">
        <v>3</v>
      </c>
      <c r="R6" s="41">
        <f t="shared" si="0"/>
        <v>2.0502288910279849</v>
      </c>
    </row>
    <row r="7" spans="1:18" ht="14.1" customHeight="1" x14ac:dyDescent="0.2">
      <c r="A7" s="21" t="s">
        <v>19</v>
      </c>
      <c r="B7" s="22">
        <v>0</v>
      </c>
      <c r="C7" s="11" t="s">
        <v>1</v>
      </c>
      <c r="Q7" s="40">
        <v>4</v>
      </c>
      <c r="R7" s="41">
        <f t="shared" si="0"/>
        <v>3.8283214552138554</v>
      </c>
    </row>
    <row r="8" spans="1:18" ht="14.1" customHeight="1" x14ac:dyDescent="0.2">
      <c r="A8" s="21" t="s">
        <v>20</v>
      </c>
      <c r="B8" s="22">
        <v>1</v>
      </c>
      <c r="C8" s="10" t="s">
        <v>0</v>
      </c>
      <c r="Q8" s="40">
        <v>5</v>
      </c>
      <c r="R8" s="41">
        <f t="shared" si="0"/>
        <v>5.6442478316744644</v>
      </c>
    </row>
    <row r="9" spans="1:18" ht="14.1" customHeight="1" x14ac:dyDescent="0.2">
      <c r="A9" s="47" t="s">
        <v>2</v>
      </c>
      <c r="B9" s="17">
        <f>K_prime/B_prime</f>
        <v>0</v>
      </c>
      <c r="C9" s="10" t="s">
        <v>6</v>
      </c>
      <c r="Q9" s="40">
        <v>6</v>
      </c>
      <c r="R9" s="41">
        <f t="shared" si="0"/>
        <v>7.3783408281297103</v>
      </c>
    </row>
    <row r="10" spans="1:18" ht="14.1" customHeight="1" x14ac:dyDescent="0.3">
      <c r="A10" s="21" t="s">
        <v>18</v>
      </c>
      <c r="B10" s="22">
        <v>0.1</v>
      </c>
      <c r="Q10" s="40">
        <v>7</v>
      </c>
      <c r="R10" s="41">
        <f t="shared" si="0"/>
        <v>8.9898804663554834</v>
      </c>
    </row>
    <row r="11" spans="1:18" ht="14.1" customHeight="1" x14ac:dyDescent="0.2">
      <c r="C11" s="10" t="s">
        <v>9</v>
      </c>
      <c r="Q11" s="40">
        <v>8</v>
      </c>
      <c r="R11" s="41">
        <f t="shared" si="0"/>
        <v>10.471233042976895</v>
      </c>
    </row>
    <row r="12" spans="1:18" ht="14.1" customHeight="1" x14ac:dyDescent="0.25">
      <c r="A12" s="32" t="s">
        <v>11</v>
      </c>
      <c r="B12" s="5"/>
      <c r="C12" s="39"/>
      <c r="Q12" s="40">
        <v>9</v>
      </c>
      <c r="R12" s="41">
        <f t="shared" si="0"/>
        <v>11.828041654117879</v>
      </c>
    </row>
    <row r="13" spans="1:18" ht="14.1" customHeight="1" x14ac:dyDescent="0.2">
      <c r="A13" s="21" t="s">
        <v>21</v>
      </c>
      <c r="B13" s="22">
        <v>1000</v>
      </c>
      <c r="C13" s="10" t="s">
        <v>1</v>
      </c>
      <c r="Q13" s="40">
        <v>10</v>
      </c>
      <c r="R13" s="41">
        <f t="shared" si="0"/>
        <v>13.070720169472494</v>
      </c>
    </row>
    <row r="14" spans="1:18" ht="14.1" customHeight="1" x14ac:dyDescent="0.2">
      <c r="A14" s="21" t="s">
        <v>22</v>
      </c>
      <c r="B14" s="22">
        <v>1</v>
      </c>
      <c r="C14" s="10" t="s">
        <v>0</v>
      </c>
      <c r="Q14" s="40">
        <v>20</v>
      </c>
      <c r="R14" s="41">
        <f t="shared" si="0"/>
        <v>21.352310040320031</v>
      </c>
    </row>
    <row r="15" spans="1:18" ht="14.1" customHeight="1" x14ac:dyDescent="0.2">
      <c r="A15" s="21" t="s">
        <v>23</v>
      </c>
      <c r="B15" s="22">
        <v>1</v>
      </c>
      <c r="C15" s="10" t="s">
        <v>0</v>
      </c>
      <c r="Q15" s="40">
        <v>30</v>
      </c>
      <c r="R15" s="41">
        <f t="shared" si="0"/>
        <v>25.836901673968772</v>
      </c>
    </row>
    <row r="16" spans="1:18" ht="14.1" customHeight="1" x14ac:dyDescent="0.2">
      <c r="A16" s="21" t="s">
        <v>24</v>
      </c>
      <c r="B16" s="17">
        <f>Condbed*bedwidth/Thickbed</f>
        <v>1000</v>
      </c>
      <c r="C16" s="10" t="s">
        <v>1</v>
      </c>
      <c r="Q16" s="40">
        <v>40</v>
      </c>
      <c r="R16" s="41">
        <f t="shared" si="0"/>
        <v>28.725030635947125</v>
      </c>
    </row>
    <row r="17" spans="1:18" ht="14.1" customHeight="1" x14ac:dyDescent="0.2">
      <c r="A17" s="4"/>
      <c r="B17" s="4"/>
      <c r="C17" s="23"/>
      <c r="Q17" s="40">
        <v>50</v>
      </c>
      <c r="R17" s="41">
        <f t="shared" si="0"/>
        <v>30.779243284537973</v>
      </c>
    </row>
    <row r="18" spans="1:18" ht="14.1" customHeight="1" x14ac:dyDescent="0.2">
      <c r="C18" s="10"/>
      <c r="Q18" s="40">
        <v>60</v>
      </c>
      <c r="R18" s="41">
        <f t="shared" si="0"/>
        <v>32.335357252757255</v>
      </c>
    </row>
    <row r="19" spans="1:18" ht="14.1" customHeight="1" x14ac:dyDescent="0.25">
      <c r="A19" s="32" t="s">
        <v>12</v>
      </c>
      <c r="B19" s="5"/>
      <c r="C19" s="39"/>
      <c r="Q19" s="40">
        <v>70</v>
      </c>
      <c r="R19" s="41">
        <f t="shared" si="0"/>
        <v>33.566432868482444</v>
      </c>
    </row>
    <row r="20" spans="1:18" ht="14.1" customHeight="1" x14ac:dyDescent="0.2">
      <c r="A20" s="21" t="s">
        <v>27</v>
      </c>
      <c r="B20" s="22">
        <v>50</v>
      </c>
      <c r="C20" s="10" t="s">
        <v>8</v>
      </c>
      <c r="Q20" s="40">
        <v>80</v>
      </c>
      <c r="R20" s="41">
        <f t="shared" si="0"/>
        <v>34.571711113240454</v>
      </c>
    </row>
    <row r="21" spans="1:18" ht="14.1" customHeight="1" x14ac:dyDescent="0.2">
      <c r="A21" s="21" t="s">
        <v>28</v>
      </c>
      <c r="B21" s="22">
        <v>500</v>
      </c>
      <c r="C21" s="10" t="s">
        <v>0</v>
      </c>
      <c r="Q21" s="40">
        <v>90</v>
      </c>
      <c r="R21" s="41">
        <f t="shared" si="0"/>
        <v>35.412660660750149</v>
      </c>
    </row>
    <row r="22" spans="1:18" ht="14.1" customHeight="1" x14ac:dyDescent="0.2">
      <c r="A22" s="34"/>
      <c r="B22" s="35"/>
      <c r="C22" s="10"/>
      <c r="Q22" s="40">
        <v>100</v>
      </c>
      <c r="R22" s="41">
        <f t="shared" si="0"/>
        <v>36.12963619121625</v>
      </c>
    </row>
    <row r="23" spans="1:18" ht="14.1" customHeight="1" x14ac:dyDescent="0.2">
      <c r="B23" s="9"/>
      <c r="C23" s="10"/>
      <c r="Q23" s="40">
        <v>150</v>
      </c>
      <c r="R23" s="41">
        <f t="shared" si="0"/>
        <v>38.596698838832175</v>
      </c>
    </row>
    <row r="24" spans="1:18" ht="14.1" customHeight="1" x14ac:dyDescent="0.2">
      <c r="A24" s="34"/>
      <c r="B24" s="58"/>
      <c r="C24" s="10"/>
      <c r="Q24" s="40">
        <v>200</v>
      </c>
      <c r="R24" s="41">
        <f t="shared" si="0"/>
        <v>40.090172597619741</v>
      </c>
    </row>
    <row r="25" spans="1:18" ht="14.1" customHeight="1" x14ac:dyDescent="0.25">
      <c r="A25" s="57"/>
      <c r="B25" s="35"/>
      <c r="C25" s="10"/>
      <c r="Q25" s="40">
        <v>250</v>
      </c>
      <c r="R25" s="41">
        <f t="shared" si="0"/>
        <v>41.117855046724308</v>
      </c>
    </row>
    <row r="26" spans="1:18" ht="14.1" customHeight="1" x14ac:dyDescent="0.2">
      <c r="B26" s="6"/>
      <c r="C26" s="10"/>
      <c r="Q26" s="40">
        <v>300</v>
      </c>
      <c r="R26" s="41">
        <f t="shared" si="0"/>
        <v>41.880422112257307</v>
      </c>
    </row>
    <row r="27" spans="1:18" ht="14.1" customHeight="1" x14ac:dyDescent="0.25">
      <c r="A27" s="32" t="s">
        <v>33</v>
      </c>
      <c r="B27" s="33"/>
      <c r="C27" s="33"/>
      <c r="Q27" s="40">
        <v>350</v>
      </c>
      <c r="R27" s="41">
        <f t="shared" si="0"/>
        <v>42.475217930278006</v>
      </c>
    </row>
    <row r="28" spans="1:18" ht="14.1" customHeight="1" thickBot="1" x14ac:dyDescent="0.25">
      <c r="A28" s="27" t="s">
        <v>15</v>
      </c>
      <c r="B28" s="29" t="s">
        <v>16</v>
      </c>
      <c r="C28" s="27" t="s">
        <v>17</v>
      </c>
      <c r="Q28" s="40">
        <v>400</v>
      </c>
      <c r="R28" s="41">
        <f t="shared" si="0"/>
        <v>42.955927382787948</v>
      </c>
    </row>
    <row r="29" spans="1:18" ht="14.1" customHeight="1" x14ac:dyDescent="0.2">
      <c r="A29" s="30">
        <v>7</v>
      </c>
      <c r="B29" s="28">
        <f>q*C29</f>
        <v>8.9898804663554834</v>
      </c>
      <c r="C29" s="43">
        <f>q_4(A29*T/(S*L^2),KB*L^2/T,S/Sy,lambda*L/T)</f>
        <v>0.17979760932710967</v>
      </c>
    </row>
    <row r="30" spans="1:18" ht="14.1" customHeight="1" x14ac:dyDescent="0.2">
      <c r="A30" s="31">
        <v>30</v>
      </c>
      <c r="B30" s="28">
        <f>q*C30</f>
        <v>25.836901673968772</v>
      </c>
      <c r="C30" s="43">
        <f>q_4(A30*T/(S*L^2),KB*L^2/T,S/Sy,lambda*L/T)</f>
        <v>0.51673803347937541</v>
      </c>
    </row>
    <row r="31" spans="1:18" ht="14.1" customHeight="1" x14ac:dyDescent="0.2">
      <c r="A31" s="31">
        <v>150</v>
      </c>
      <c r="B31" s="28">
        <f>q*C31</f>
        <v>38.596698838832175</v>
      </c>
      <c r="C31" s="43">
        <f>q_4(A31*T/(S*L^2),KB*L^2/T,S/Sy,lambda*L/T)</f>
        <v>0.77193397677664344</v>
      </c>
    </row>
    <row r="32" spans="1:18" ht="14.1" customHeight="1" x14ac:dyDescent="0.2">
      <c r="A32" s="53">
        <v>365</v>
      </c>
      <c r="B32" s="28">
        <f>q*C32</f>
        <v>42.629641580423595</v>
      </c>
      <c r="C32" s="43">
        <f>q_4(A32*T/(S*L^2),KB*L^2/T,S/Sy,lambda*L/T)</f>
        <v>0.85259283160847188</v>
      </c>
      <c r="P32" s="4"/>
    </row>
    <row r="33" spans="1:17" ht="14.1" customHeight="1" x14ac:dyDescent="0.2">
      <c r="Q33" s="4"/>
    </row>
    <row r="34" spans="1:17" ht="14.1" customHeight="1" x14ac:dyDescent="0.2">
      <c r="A34" s="4"/>
      <c r="B34" s="4"/>
      <c r="C34" s="4"/>
      <c r="P34" s="15"/>
    </row>
    <row r="36" spans="1:17" ht="14.1" customHeight="1" x14ac:dyDescent="0.2">
      <c r="A36" s="15"/>
      <c r="B36" s="15"/>
      <c r="C36" s="15"/>
    </row>
    <row r="38" spans="1:17" ht="14.1" customHeight="1" x14ac:dyDescent="0.2">
      <c r="A38" s="42" t="s">
        <v>34</v>
      </c>
    </row>
  </sheetData>
  <sheetProtection algorithmName="SHA-512" hashValue="3Z99i90updIPx2nFoApq14zuuvxPtzNxWjsjebH0HX2f1/fKYQViXROWTW1fch/yFwTB6kaPMIDcEz2BXah07A==" saltValue="0Oye9gJrP6Kt3NIb87+gfA==" spinCount="100000" sheet="1" objects="1" scenarios="1"/>
  <mergeCells count="1">
    <mergeCell ref="A1:O1"/>
  </mergeCells>
  <phoneticPr fontId="0" type="noConversion"/>
  <pageMargins left="0.75" right="0.18" top="1" bottom="1" header="0.5" footer="0.5"/>
  <pageSetup paperSize="9" scale="88" orientation="landscape" r:id="rId1"/>
  <headerFooter alignWithMargins="0">
    <oddHeader>&amp;A</oddHeader>
    <oddFooter>Page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R41"/>
  <sheetViews>
    <sheetView showGridLines="0" workbookViewId="0">
      <selection sqref="A1:O1"/>
    </sheetView>
  </sheetViews>
  <sheetFormatPr defaultColWidth="10.140625" defaultRowHeight="14.1" customHeight="1" x14ac:dyDescent="0.2"/>
  <cols>
    <col min="1" max="1" width="26.7109375" style="1" customWidth="1"/>
    <col min="2" max="2" width="10.7109375" style="1" customWidth="1"/>
    <col min="3" max="3" width="6.7109375" style="1" customWidth="1"/>
    <col min="4" max="6" width="9.140625" customWidth="1"/>
    <col min="7" max="7" width="3" style="3" bestFit="1" customWidth="1"/>
    <col min="8" max="15" width="10.140625" style="4" customWidth="1"/>
    <col min="16" max="16" width="8.7109375" style="8" customWidth="1"/>
    <col min="17" max="17" width="8.7109375" style="16" customWidth="1"/>
    <col min="18" max="18" width="14.5703125" style="3" bestFit="1" customWidth="1"/>
    <col min="19" max="16384" width="10.140625" style="4"/>
  </cols>
  <sheetData>
    <row r="1" spans="1:18" ht="15.95" customHeight="1" x14ac:dyDescent="0.25">
      <c r="A1" s="64" t="s">
        <v>36</v>
      </c>
      <c r="B1" s="64"/>
      <c r="C1" s="64"/>
      <c r="D1" s="64"/>
      <c r="E1" s="64"/>
      <c r="F1" s="64"/>
      <c r="G1" s="64"/>
      <c r="H1" s="64"/>
      <c r="I1" s="64"/>
      <c r="J1" s="64"/>
      <c r="K1" s="64"/>
      <c r="L1" s="64"/>
      <c r="M1" s="64"/>
      <c r="N1" s="64"/>
      <c r="O1" s="64"/>
    </row>
    <row r="2" spans="1:18" ht="14.1" customHeight="1" x14ac:dyDescent="0.25">
      <c r="A2" s="51" t="s">
        <v>4</v>
      </c>
      <c r="B2" s="5"/>
      <c r="C2" s="39"/>
      <c r="Q2" s="2" t="s">
        <v>3</v>
      </c>
      <c r="R2" s="62" t="s">
        <v>29</v>
      </c>
    </row>
    <row r="3" spans="1:18" ht="14.1" customHeight="1" x14ac:dyDescent="0.2">
      <c r="A3" s="20" t="s">
        <v>39</v>
      </c>
      <c r="B3" s="22">
        <v>500</v>
      </c>
      <c r="C3" s="11" t="s">
        <v>5</v>
      </c>
      <c r="Q3" s="7" t="s">
        <v>7</v>
      </c>
      <c r="R3" s="7" t="s">
        <v>8</v>
      </c>
    </row>
    <row r="4" spans="1:18" ht="14.1" customHeight="1" x14ac:dyDescent="0.2">
      <c r="A4" s="21" t="s">
        <v>40</v>
      </c>
      <c r="B4" s="22">
        <v>0.05</v>
      </c>
      <c r="C4" s="10" t="s">
        <v>9</v>
      </c>
      <c r="Q4" s="40">
        <v>1</v>
      </c>
      <c r="R4" s="41">
        <f t="shared" ref="R4:R28" si="0">q*q_16(Q4*T_2/(S_2*L^2),T_1/T_2,S_1/S_2,KB*L^2/T_2,lambda*L/T_2)</f>
        <v>4.0802742636766995E-3</v>
      </c>
    </row>
    <row r="5" spans="1:18" ht="14.1" customHeight="1" x14ac:dyDescent="0.25">
      <c r="A5" s="32" t="s">
        <v>10</v>
      </c>
      <c r="B5" s="5"/>
      <c r="C5" s="39"/>
      <c r="Q5" s="40">
        <v>2</v>
      </c>
      <c r="R5" s="41">
        <f t="shared" si="0"/>
        <v>0.60395701142014302</v>
      </c>
    </row>
    <row r="6" spans="1:18" ht="14.1" customHeight="1" x14ac:dyDescent="0.2">
      <c r="A6" s="21" t="s">
        <v>19</v>
      </c>
      <c r="B6" s="22">
        <v>1000000</v>
      </c>
      <c r="C6" s="11" t="s">
        <v>1</v>
      </c>
      <c r="Q6" s="40">
        <v>3</v>
      </c>
      <c r="R6" s="41">
        <f t="shared" si="0"/>
        <v>2.0499176747041408</v>
      </c>
    </row>
    <row r="7" spans="1:18" ht="14.1" customHeight="1" x14ac:dyDescent="0.2">
      <c r="A7" s="21" t="s">
        <v>20</v>
      </c>
      <c r="B7" s="22">
        <v>1</v>
      </c>
      <c r="C7" s="10" t="s">
        <v>0</v>
      </c>
      <c r="Q7" s="40">
        <v>4</v>
      </c>
      <c r="R7" s="41">
        <f t="shared" si="0"/>
        <v>3.8278663485160491</v>
      </c>
    </row>
    <row r="8" spans="1:18" ht="14.1" customHeight="1" x14ac:dyDescent="0.2">
      <c r="A8" s="47" t="s">
        <v>2</v>
      </c>
      <c r="B8" s="17">
        <f>K_prime/B_prime</f>
        <v>1000000</v>
      </c>
      <c r="C8" s="10" t="s">
        <v>6</v>
      </c>
      <c r="Q8" s="40">
        <v>5</v>
      </c>
      <c r="R8" s="41">
        <f t="shared" si="0"/>
        <v>5.6436954326470774</v>
      </c>
    </row>
    <row r="9" spans="1:18" ht="14.1" customHeight="1" x14ac:dyDescent="0.25">
      <c r="A9" s="32" t="s">
        <v>35</v>
      </c>
      <c r="B9" s="5"/>
      <c r="C9" s="39"/>
      <c r="Q9" s="40">
        <v>6</v>
      </c>
      <c r="R9" s="41">
        <f t="shared" si="0"/>
        <v>7.3777194478661574</v>
      </c>
    </row>
    <row r="10" spans="1:18" ht="14.1" customHeight="1" x14ac:dyDescent="0.2">
      <c r="A10" s="55" t="s">
        <v>38</v>
      </c>
      <c r="B10" s="22">
        <v>500</v>
      </c>
      <c r="C10" s="11" t="s">
        <v>5</v>
      </c>
      <c r="Q10" s="40">
        <v>7</v>
      </c>
      <c r="R10" s="41">
        <f t="shared" si="0"/>
        <v>8.989175597405282</v>
      </c>
    </row>
    <row r="11" spans="1:18" ht="14.1" customHeight="1" x14ac:dyDescent="0.2">
      <c r="A11" s="21" t="s">
        <v>37</v>
      </c>
      <c r="B11" s="22">
        <v>0.05</v>
      </c>
      <c r="C11" s="10" t="s">
        <v>9</v>
      </c>
      <c r="Q11" s="40">
        <v>8</v>
      </c>
      <c r="R11" s="41">
        <f t="shared" si="0"/>
        <v>10.470546782317182</v>
      </c>
    </row>
    <row r="12" spans="1:18" ht="14.1" customHeight="1" x14ac:dyDescent="0.25">
      <c r="A12" s="32" t="s">
        <v>11</v>
      </c>
      <c r="B12" s="5"/>
      <c r="C12" s="39"/>
      <c r="Q12" s="40">
        <v>9</v>
      </c>
      <c r="R12" s="41">
        <f t="shared" si="0"/>
        <v>11.827340595702742</v>
      </c>
    </row>
    <row r="13" spans="1:18" ht="14.1" customHeight="1" x14ac:dyDescent="0.2">
      <c r="A13" s="21" t="s">
        <v>21</v>
      </c>
      <c r="B13" s="61">
        <v>1000</v>
      </c>
      <c r="C13" s="10" t="s">
        <v>1</v>
      </c>
      <c r="Q13" s="40">
        <v>10</v>
      </c>
      <c r="R13" s="41">
        <f t="shared" si="0"/>
        <v>13.06995603087141</v>
      </c>
    </row>
    <row r="14" spans="1:18" ht="14.1" customHeight="1" x14ac:dyDescent="0.2">
      <c r="A14" s="21" t="s">
        <v>22</v>
      </c>
      <c r="B14" s="22">
        <v>1</v>
      </c>
      <c r="C14" s="10" t="s">
        <v>0</v>
      </c>
      <c r="Q14" s="40">
        <v>20</v>
      </c>
      <c r="R14" s="41">
        <f t="shared" si="0"/>
        <v>21.351583282485436</v>
      </c>
    </row>
    <row r="15" spans="1:18" ht="14.1" customHeight="1" x14ac:dyDescent="0.2">
      <c r="A15" s="21" t="s">
        <v>23</v>
      </c>
      <c r="B15" s="22">
        <v>1</v>
      </c>
      <c r="C15" s="10" t="s">
        <v>0</v>
      </c>
      <c r="Q15" s="40">
        <v>30</v>
      </c>
      <c r="R15" s="41">
        <f t="shared" si="0"/>
        <v>25.836241806451987</v>
      </c>
    </row>
    <row r="16" spans="1:18" ht="14.1" customHeight="1" x14ac:dyDescent="0.2">
      <c r="A16" s="21" t="s">
        <v>24</v>
      </c>
      <c r="B16" s="17">
        <f>Condbed*bedwidth/Thickbed</f>
        <v>1000</v>
      </c>
      <c r="C16" s="10" t="s">
        <v>1</v>
      </c>
      <c r="Q16" s="40">
        <v>40</v>
      </c>
      <c r="R16" s="41">
        <f t="shared" si="0"/>
        <v>28.724428222378094</v>
      </c>
    </row>
    <row r="17" spans="1:18" ht="14.1" customHeight="1" x14ac:dyDescent="0.2">
      <c r="A17" s="4"/>
      <c r="B17" s="4"/>
      <c r="C17" s="23"/>
      <c r="Q17" s="40">
        <v>50</v>
      </c>
      <c r="R17" s="41">
        <f t="shared" si="0"/>
        <v>30.778687210982696</v>
      </c>
    </row>
    <row r="18" spans="1:18" ht="14.1" customHeight="1" x14ac:dyDescent="0.2">
      <c r="C18" s="10"/>
      <c r="Q18" s="40">
        <v>60</v>
      </c>
      <c r="R18" s="41">
        <f t="shared" si="0"/>
        <v>32.334838869138466</v>
      </c>
    </row>
    <row r="19" spans="1:18" ht="14.1" customHeight="1" x14ac:dyDescent="0.25">
      <c r="A19" s="32" t="s">
        <v>12</v>
      </c>
      <c r="B19" s="5"/>
      <c r="C19" s="39"/>
      <c r="Q19" s="40">
        <v>70</v>
      </c>
      <c r="R19" s="41">
        <f t="shared" si="0"/>
        <v>33.566142964598633</v>
      </c>
    </row>
    <row r="20" spans="1:18" ht="14.1" customHeight="1" x14ac:dyDescent="0.2">
      <c r="A20" s="21" t="s">
        <v>27</v>
      </c>
      <c r="B20" s="22">
        <v>50</v>
      </c>
      <c r="C20" s="10" t="s">
        <v>8</v>
      </c>
      <c r="Q20" s="40">
        <v>80</v>
      </c>
      <c r="R20" s="41">
        <f t="shared" si="0"/>
        <v>34.570097084861651</v>
      </c>
    </row>
    <row r="21" spans="1:18" ht="14.1" customHeight="1" x14ac:dyDescent="0.2">
      <c r="A21" s="21" t="s">
        <v>28</v>
      </c>
      <c r="B21" s="22">
        <v>500</v>
      </c>
      <c r="C21" s="10" t="s">
        <v>0</v>
      </c>
      <c r="Q21" s="40">
        <v>90</v>
      </c>
      <c r="R21" s="41">
        <f t="shared" si="0"/>
        <v>35.412222361678069</v>
      </c>
    </row>
    <row r="22" spans="1:18" ht="14.1" customHeight="1" x14ac:dyDescent="0.2">
      <c r="A22" s="34"/>
      <c r="B22" s="35"/>
      <c r="C22" s="10"/>
      <c r="Q22" s="40">
        <v>100</v>
      </c>
      <c r="R22" s="41">
        <f t="shared" si="0"/>
        <v>36.129217469671509</v>
      </c>
    </row>
    <row r="23" spans="1:18" ht="14.1" customHeight="1" x14ac:dyDescent="0.25">
      <c r="A23" s="57"/>
      <c r="B23" s="9"/>
      <c r="C23" s="10"/>
      <c r="Q23" s="40">
        <v>150</v>
      </c>
      <c r="R23" s="41">
        <f t="shared" si="0"/>
        <v>38.596349704302909</v>
      </c>
    </row>
    <row r="24" spans="1:18" ht="14.1" customHeight="1" x14ac:dyDescent="0.2">
      <c r="A24" s="34"/>
      <c r="B24" s="58"/>
      <c r="C24" s="10"/>
      <c r="Q24" s="40">
        <v>200</v>
      </c>
      <c r="R24" s="41">
        <f t="shared" si="0"/>
        <v>40.089867039781794</v>
      </c>
    </row>
    <row r="25" spans="1:18" ht="14.1" customHeight="1" x14ac:dyDescent="0.2">
      <c r="A25" s="63"/>
      <c r="B25" s="35"/>
      <c r="C25" s="10"/>
      <c r="Q25" s="40">
        <v>250</v>
      </c>
      <c r="R25" s="41">
        <f t="shared" si="0"/>
        <v>41.11758001195161</v>
      </c>
    </row>
    <row r="26" spans="1:18" ht="14.1" customHeight="1" x14ac:dyDescent="0.2">
      <c r="B26" s="6"/>
      <c r="C26" s="10"/>
      <c r="Q26" s="40">
        <v>300</v>
      </c>
      <c r="R26" s="41">
        <f t="shared" si="0"/>
        <v>41.880169977023399</v>
      </c>
    </row>
    <row r="27" spans="1:18" ht="14.1" customHeight="1" x14ac:dyDescent="0.25">
      <c r="A27" s="32" t="s">
        <v>33</v>
      </c>
      <c r="B27" s="33"/>
      <c r="C27" s="33"/>
      <c r="Q27" s="40">
        <v>350</v>
      </c>
      <c r="R27" s="41">
        <f t="shared" si="0"/>
        <v>42.478735381755357</v>
      </c>
    </row>
    <row r="28" spans="1:18" ht="14.1" customHeight="1" thickBot="1" x14ac:dyDescent="0.25">
      <c r="A28" s="27" t="s">
        <v>15</v>
      </c>
      <c r="B28" s="29" t="s">
        <v>16</v>
      </c>
      <c r="C28" s="27" t="s">
        <v>17</v>
      </c>
      <c r="Q28" s="40">
        <v>400</v>
      </c>
      <c r="R28" s="41">
        <f t="shared" si="0"/>
        <v>42.951040539146533</v>
      </c>
    </row>
    <row r="29" spans="1:18" ht="14.1" customHeight="1" x14ac:dyDescent="0.2">
      <c r="A29" s="30">
        <v>7</v>
      </c>
      <c r="B29" s="28">
        <f>q*C29</f>
        <v>8.989175597405282</v>
      </c>
      <c r="C29" s="43">
        <f>q_16(A29*T_2/(S_2*L^2),T_1/T_2,S_1/S_2,KB*L^2/T_2,lambda*L/T_2)</f>
        <v>0.17978351194810566</v>
      </c>
    </row>
    <row r="30" spans="1:18" ht="14.1" customHeight="1" x14ac:dyDescent="0.2">
      <c r="A30" s="31">
        <v>30</v>
      </c>
      <c r="B30" s="28">
        <f>q*C30</f>
        <v>25.836241806451987</v>
      </c>
      <c r="C30" s="43">
        <f>q_16(A30*T_2/(S_2*L^2),T_1/T_2,S_1/S_2,KB*L^2/T_2,lambda*L/T_2)</f>
        <v>0.51672483612903974</v>
      </c>
    </row>
    <row r="31" spans="1:18" ht="14.1" customHeight="1" x14ac:dyDescent="0.2">
      <c r="A31" s="31">
        <v>150</v>
      </c>
      <c r="B31" s="28">
        <f>q*C31</f>
        <v>38.596349704302909</v>
      </c>
      <c r="C31" s="43">
        <f>q_16(A31*T_2/(S_2*L^2),T_1/T_2,S_1/S_2,KB*L^2/T_2,lambda*L/T_2)</f>
        <v>0.77192699408605825</v>
      </c>
    </row>
    <row r="32" spans="1:18" ht="14.1" customHeight="1" x14ac:dyDescent="0.2">
      <c r="A32" s="53">
        <v>365</v>
      </c>
      <c r="B32" s="28">
        <f>q*C32</f>
        <v>42.631206369595098</v>
      </c>
      <c r="C32" s="43">
        <f>q_16(A32*T_2/(S_2*L^2),T_1/T_2,S_1/S_2,KB*L^2/T_2,lambda*L/T_2)</f>
        <v>0.85262412739190196</v>
      </c>
      <c r="P32" s="4"/>
    </row>
    <row r="33" spans="1:17" ht="14.1" customHeight="1" x14ac:dyDescent="0.2">
      <c r="Q33" s="4"/>
    </row>
    <row r="34" spans="1:17" ht="14.1" customHeight="1" x14ac:dyDescent="0.2">
      <c r="A34" s="4"/>
      <c r="B34" s="4"/>
      <c r="C34" s="4"/>
      <c r="P34" s="15"/>
    </row>
    <row r="35" spans="1:17" ht="14.1" customHeight="1" x14ac:dyDescent="0.2">
      <c r="P35" s="59"/>
    </row>
    <row r="36" spans="1:17" ht="14.1" customHeight="1" x14ac:dyDescent="0.2">
      <c r="A36" s="15"/>
      <c r="B36" s="15"/>
      <c r="C36" s="15"/>
      <c r="P36" s="60"/>
    </row>
    <row r="38" spans="1:17" ht="14.1" customHeight="1" x14ac:dyDescent="0.2">
      <c r="A38" s="56" t="s">
        <v>41</v>
      </c>
    </row>
    <row r="39" spans="1:17" ht="14.1" customHeight="1" x14ac:dyDescent="0.2">
      <c r="A39" s="56" t="s">
        <v>42</v>
      </c>
    </row>
    <row r="40" spans="1:17" ht="14.1" customHeight="1" x14ac:dyDescent="0.2">
      <c r="A40" s="56" t="s">
        <v>43</v>
      </c>
    </row>
    <row r="41" spans="1:17" ht="14.1" customHeight="1" x14ac:dyDescent="0.2">
      <c r="A41" s="56" t="s">
        <v>44</v>
      </c>
    </row>
  </sheetData>
  <sheetProtection algorithmName="SHA-512" hashValue="2PwvObjz3nucWf7BiYFgBXgtFSTF0z61uLilCZ8ubjc2CQ+AY87o3dY9bOnm7c0B60fUu9X1qM3DyKYgvQVjpQ==" saltValue="q0f0a/fybDfFUW/zKmAZjw==" spinCount="100000" sheet="1" objects="1" scenarios="1"/>
  <mergeCells count="1">
    <mergeCell ref="A1:O1"/>
  </mergeCells>
  <pageMargins left="0.75" right="0.18" top="1" bottom="1" header="0.5" footer="0.5"/>
  <pageSetup paperSize="9" scale="88" orientation="landscape" r:id="rId1"/>
  <headerFooter alignWithMargins="0">
    <oddHeader>&amp;A</oddHeader>
    <oddFoote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E2"/>
  <sheetViews>
    <sheetView workbookViewId="0"/>
  </sheetViews>
  <sheetFormatPr defaultColWidth="13.7109375" defaultRowHeight="12.95" customHeight="1" x14ac:dyDescent="0.2"/>
  <cols>
    <col min="1" max="16384" width="13.7109375" style="37"/>
  </cols>
  <sheetData>
    <row r="1" spans="1:5" ht="12.95" customHeight="1" x14ac:dyDescent="0.2">
      <c r="A1" s="36"/>
      <c r="B1" s="36"/>
      <c r="C1" s="36"/>
      <c r="D1" s="36"/>
      <c r="E1" s="36"/>
    </row>
    <row r="2" spans="1:5" ht="12.95" customHeight="1" x14ac:dyDescent="0.2">
      <c r="A2" s="36"/>
      <c r="B2" s="36"/>
      <c r="C2" s="36"/>
      <c r="D2" s="36"/>
      <c r="E2" s="36"/>
    </row>
  </sheetData>
  <sheetProtection password="CAE1" sheet="1" objects="1" scenarios="1"/>
  <phoneticPr fontId="5"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44</vt:i4>
      </vt:variant>
    </vt:vector>
  </HeadingPairs>
  <TitlesOfParts>
    <vt:vector size="49" baseType="lpstr">
      <vt:lpstr>Theis(1935)(Jenkins)</vt:lpstr>
      <vt:lpstr>Hunt(1999)</vt:lpstr>
      <vt:lpstr>Hunt(2003)</vt:lpstr>
      <vt:lpstr>Ward-Lough(2011)</vt:lpstr>
      <vt:lpstr>Disclaimer</vt:lpstr>
      <vt:lpstr>'Hunt(2003)'!B_prime</vt:lpstr>
      <vt:lpstr>'Ward-Lough(2011)'!B_prime</vt:lpstr>
      <vt:lpstr>'Hunt(1999)'!bedwidth</vt:lpstr>
      <vt:lpstr>'Hunt(2003)'!bedwidth</vt:lpstr>
      <vt:lpstr>'Ward-Lough(2011)'!bedwidth</vt:lpstr>
      <vt:lpstr>'Hunt(1999)'!Condbed</vt:lpstr>
      <vt:lpstr>'Hunt(2003)'!Condbed</vt:lpstr>
      <vt:lpstr>'Ward-Lough(2011)'!Condbed</vt:lpstr>
      <vt:lpstr>'Hunt(1999)'!eff</vt:lpstr>
      <vt:lpstr>'Theis(1935)(Jenkins)'!eff</vt:lpstr>
      <vt:lpstr>'Ward-Lough(2011)'!eff</vt:lpstr>
      <vt:lpstr>'Hunt(2003)'!K_prime</vt:lpstr>
      <vt:lpstr>'Ward-Lough(2011)'!K_prime</vt:lpstr>
      <vt:lpstr>'Hunt(2003)'!KB</vt:lpstr>
      <vt:lpstr>'Ward-Lough(2011)'!KB</vt:lpstr>
      <vt:lpstr>'Hunt(1999)'!L</vt:lpstr>
      <vt:lpstr>'Hunt(2003)'!L</vt:lpstr>
      <vt:lpstr>'Theis(1935)(Jenkins)'!L</vt:lpstr>
      <vt:lpstr>'Ward-Lough(2011)'!L</vt:lpstr>
      <vt:lpstr>'Hunt(1999)'!L_2</vt:lpstr>
      <vt:lpstr>'Ward-Lough(2011)'!L_2</vt:lpstr>
      <vt:lpstr>'Hunt(1999)'!lambda</vt:lpstr>
      <vt:lpstr>'Hunt(2003)'!lambda</vt:lpstr>
      <vt:lpstr>'Ward-Lough(2011)'!lambda</vt:lpstr>
      <vt:lpstr>'Hunt(1999)'!q</vt:lpstr>
      <vt:lpstr>'Hunt(2003)'!q</vt:lpstr>
      <vt:lpstr>'Theis(1935)(Jenkins)'!q</vt:lpstr>
      <vt:lpstr>'Ward-Lough(2011)'!q</vt:lpstr>
      <vt:lpstr>'Hunt(1999)'!S</vt:lpstr>
      <vt:lpstr>'Hunt(2003)'!S</vt:lpstr>
      <vt:lpstr>'Theis(1935)(Jenkins)'!S</vt:lpstr>
      <vt:lpstr>'Ward-Lough(2011)'!S_1</vt:lpstr>
      <vt:lpstr>'Ward-Lough(2011)'!S_2</vt:lpstr>
      <vt:lpstr>'Theis(1935)(Jenkins)'!sdf</vt:lpstr>
      <vt:lpstr>'Theis(1935)(Jenkins)'!Sdf_2</vt:lpstr>
      <vt:lpstr>'Hunt(2003)'!Sy</vt:lpstr>
      <vt:lpstr>'Hunt(1999)'!T</vt:lpstr>
      <vt:lpstr>'Hunt(2003)'!T</vt:lpstr>
      <vt:lpstr>'Theis(1935)(Jenkins)'!T</vt:lpstr>
      <vt:lpstr>'Ward-Lough(2011)'!T_1</vt:lpstr>
      <vt:lpstr>'Ward-Lough(2011)'!T_2</vt:lpstr>
      <vt:lpstr>'Hunt(1999)'!Thickbed</vt:lpstr>
      <vt:lpstr>'Hunt(2003)'!Thickbed</vt:lpstr>
      <vt:lpstr>'Ward-Lough(2011)'!Thickbed</vt:lpstr>
    </vt:vector>
  </TitlesOfParts>
  <Company>Environment Canterbury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Stream depletion solutions 11.6</dc:title>
  <dc:subject>Stream depletion</dc:subject>
  <dc:creator>Matt Smith and David Scott</dc:creator>
  <cp:lastModifiedBy>David Just</cp:lastModifiedBy>
  <cp:lastPrinted>2011-06-27T04:50:19Z</cp:lastPrinted>
  <dcterms:created xsi:type="dcterms:W3CDTF">1999-08-30T21:12:27Z</dcterms:created>
  <dcterms:modified xsi:type="dcterms:W3CDTF">2020-04-07T22:32:09Z</dcterms:modified>
</cp:coreProperties>
</file>